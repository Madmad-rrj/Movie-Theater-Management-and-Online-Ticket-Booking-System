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btasks" sheetId="1" state="visible" r:id="rId1"/>
    <sheet name="Task Hierarchy" sheetId="2" state="visible" r:id="rId2"/>
    <sheet name="Sprint Plan" sheetId="3" state="visible" r:id="rId3"/>
    <sheet name="Member Workload" sheetId="4" state="visible" r:id="rId4"/>
    <sheet name="Phase Summary" sheetId="5" state="visible" r:id="rId5"/>
    <sheet name="Dependencies &amp; Milestones" sheetId="6" state="visible" r:id="rId6"/>
    <sheet name="Assumptions &amp; Issues" sheetId="7" state="visible" r:id="rId7"/>
    <sheet name="Jira Import" sheetId="8" state="visible" r:id="rId8"/>
  </sheets>
  <definedNames>
    <definedName name="_xlnm._FilterDatabase" localSheetId="0" hidden="1">'Master Subtasks'!$A$1:$AC$293</definedName>
    <definedName name="_xlnm._FilterDatabase" localSheetId="1" hidden="1">'Task Hierarchy'!$A$1:$R$347</definedName>
    <definedName name="_xlnm._FilterDatabase" localSheetId="2" hidden="1">'Sprint Plan'!$A$1:$K$6</definedName>
    <definedName name="_xlnm._FilterDatabase" localSheetId="3" hidden="1">'Member Workload'!$A$1:$K$7</definedName>
    <definedName name="_xlnm._FilterDatabase" localSheetId="4" hidden="1">'Phase Summary'!$A$1:$L$5</definedName>
    <definedName name="_xlnm._FilterDatabase" localSheetId="5" hidden="1">'Dependencies &amp; Milestones'!$A$1:$H$107</definedName>
    <definedName name="_xlnm._FilterDatabase" localSheetId="6" hidden="1">'Assumptions &amp; Issues'!$A$1:$G$17</definedName>
    <definedName name="_xlnm._FilterDatabase" localSheetId="7" hidden="1">'Jira Import'!$A$1:$P$347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02020"/>
      <sz val="10"/>
    </font>
    <font>
      <name val="Aptos"/>
      <b val="1"/>
      <color rgb="0017365D"/>
      <sz val="10"/>
    </font>
    <font>
      <b val="1"/>
      <color rgb="0017365D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5" borderId="0" applyAlignment="1" pivotButton="0" quotePrefix="0" xfId="0">
      <alignment horizontal="center"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Member effort by sprint (relative SP)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'Member Workload'!D1</f>
            </strRef>
          </tx>
          <spPr>
            <a:ln>
              <a:prstDash val="solid"/>
            </a:ln>
          </spPr>
          <cat>
            <numRef>
              <f>'Member Workload'!$B$2:$B$6</f>
            </numRef>
          </cat>
          <val>
            <numRef>
              <f>'Member Workload'!$D$2:$D$6</f>
            </numRef>
          </val>
        </ser>
        <ser>
          <idx val="1"/>
          <order val="1"/>
          <tx>
            <strRef>
              <f>'Member Workload'!E1</f>
            </strRef>
          </tx>
          <spPr>
            <a:ln>
              <a:prstDash val="solid"/>
            </a:ln>
          </spPr>
          <cat>
            <numRef>
              <f>'Member Workload'!$B$2:$B$6</f>
            </numRef>
          </cat>
          <val>
            <numRef>
              <f>'Member Workload'!$E$2:$E$6</f>
            </numRef>
          </val>
        </ser>
        <ser>
          <idx val="2"/>
          <order val="2"/>
          <tx>
            <strRef>
              <f>'Member Workload'!F1</f>
            </strRef>
          </tx>
          <spPr>
            <a:ln>
              <a:prstDash val="solid"/>
            </a:ln>
          </spPr>
          <cat>
            <numRef>
              <f>'Member Workload'!$B$2:$B$6</f>
            </numRef>
          </cat>
          <val>
            <numRef>
              <f>'Member Workload'!$F$2:$F$6</f>
            </numRef>
          </val>
        </ser>
        <ser>
          <idx val="3"/>
          <order val="3"/>
          <tx>
            <strRef>
              <f>'Member Workload'!G1</f>
            </strRef>
          </tx>
          <spPr>
            <a:ln>
              <a:prstDash val="solid"/>
            </a:ln>
          </spPr>
          <cat>
            <numRef>
              <f>'Member Workload'!$B$2:$B$6</f>
            </numRef>
          </cat>
          <val>
            <numRef>
              <f>'Member Workload'!$G$2:$G$6</f>
            </numRef>
          </val>
        </ser>
        <ser>
          <idx val="4"/>
          <order val="4"/>
          <tx>
            <strRef>
              <f>'Member Workload'!H1</f>
            </strRef>
          </tx>
          <spPr>
            <a:ln>
              <a:prstDash val="solid"/>
            </a:ln>
          </spPr>
          <cat>
            <numRef>
              <f>'Member Workload'!$B$2:$B$6</f>
            </numRef>
          </cat>
          <val>
            <numRef>
              <f>'Member Workload'!$H$2:$H$6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Copilot</author>
  </authors>
  <commentList>
    <comment ref="V1" authorId="0" shapeId="0">
      <text>
        <t>Relative Story Points: 1=small, 2=moderate, 3=large/high-risk; not person-hours.</t>
      </text>
    </comment>
    <comment ref="W1" authorId="0" shapeId="0">
      <text>
        <t>High=core/milestone path; Medium=supporting scope; Low=conditional/optional.</t>
      </text>
    </comment>
    <comment ref="AB1" authorId="0" shapeId="0">
      <text>
        <t>All statuses are Planned; update only after checking evidence.</t>
      </text>
    </comment>
  </commentList>
</comments>
</file>

<file path=xl/comments/comment2.xml><?xml version="1.0" encoding="utf-8"?>
<comments xmlns="http://schemas.openxmlformats.org/spreadsheetml/2006/main">
  <authors>
    <author>Copilot</author>
  </authors>
  <commentList>
    <comment ref="K1" authorId="0" shapeId="0">
      <text>
        <t>20 SP/member/sprint is a provisional review threshold, not verified capacity.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sterSubtasks" displayName="MasterSubtasks" ref="A1:AC293" headerRowCount="1">
  <autoFilter ref="A1:AC293"/>
  <tableColumns count="29">
    <tableColumn id="1" name="Original Row ID"/>
    <tableColumn id="2" name="Source Worksheet Row"/>
    <tableColumn id="3" name="Original Stage"/>
    <tableColumn id="4" name="Original Purpose"/>
    <tableColumn id="5" name="Original Task"/>
    <tableColumn id="6" name="Original Task Description"/>
    <tableColumn id="7" name="Original Classification"/>
    <tableColumn id="8" name="Original Sprint Proposal"/>
    <tableColumn id="9" name="Original Source Rationale"/>
    <tableColumn id="10" name="Phase ID"/>
    <tableColumn id="11" name="Phase Name"/>
    <tableColumn id="12" name="Task ID"/>
    <tableColumn id="13" name="Task Name"/>
    <tableColumn id="14" name="Task Owner ID"/>
    <tableColumn id="15" name="Task Owner Name"/>
    <tableColumn id="16" name="Sub-task ID"/>
    <tableColumn id="17" name="Sprint"/>
    <tableColumn id="18" name="Assignee ID"/>
    <tableColumn id="19" name="Assignee Name"/>
    <tableColumn id="20" name="Start Date"/>
    <tableColumn id="21" name="Due Date"/>
    <tableColumn id="22" name="Effort"/>
    <tableColumn id="23" name="Priority"/>
    <tableColumn id="24" name="Work Type"/>
    <tableColumn id="25" name="Dependencies"/>
    <tableColumn id="26" name="Deliverable"/>
    <tableColumn id="27" name="Acceptance Criteria"/>
    <tableColumn id="28" name="Initial Status"/>
    <tableColumn id="29" name="Assumptions / Notes"/>
  </tableColumns>
  <tableStyleInfo name="TableStyleMedium2" showRowStripes="1"/>
</table>
</file>

<file path=xl/tables/table2.xml><?xml version="1.0" encoding="utf-8"?>
<table xmlns="http://schemas.openxmlformats.org/spreadsheetml/2006/main" id="2" name="TaskHierarchy" displayName="TaskHierarchy" ref="A1:R347" headerRowCount="1">
  <autoFilter ref="A1:R347"/>
  <tableColumns count="18">
    <tableColumn id="1" name="Level"/>
    <tableColumn id="2" name="Hierarchy ID"/>
    <tableColumn id="3" name="Parent ID"/>
    <tableColumn id="4" name="Name / Original Task"/>
    <tableColumn id="5" name="Phase ID"/>
    <tableColumn id="6" name="Phase Name"/>
    <tableColumn id="7" name="Task ID"/>
    <tableColumn id="8" name="Task Owner ID"/>
    <tableColumn id="9" name="Task Owner Name"/>
    <tableColumn id="10" name="Sprint"/>
    <tableColumn id="11" name="Assignee ID"/>
    <tableColumn id="12" name="Assignee Name"/>
    <tableColumn id="13" name="Start Date"/>
    <tableColumn id="14" name="Due Date"/>
    <tableColumn id="15" name="Effort"/>
    <tableColumn id="16" name="Original Row ID"/>
    <tableColumn id="17" name="Priority"/>
    <tableColumn id="18" name="Status"/>
  </tableColumns>
  <tableStyleInfo name="TableStyleMedium2" showRowStripes="1"/>
</table>
</file>

<file path=xl/tables/table3.xml><?xml version="1.0" encoding="utf-8"?>
<table xmlns="http://schemas.openxmlformats.org/spreadsheetml/2006/main" id="3" name="SprintPlan" displayName="SprintPlan" ref="A1:K6" headerRowCount="1">
  <autoFilter ref="A1:K6"/>
  <tableColumns count="11">
    <tableColumn id="1" name="Sprint"/>
    <tableColumn id="2" name="Start Date"/>
    <tableColumn id="3" name="End Date"/>
    <tableColumn id="4" name="Sprint Goal"/>
    <tableColumn id="5" name="Task IDs / Names"/>
    <tableColumn id="6" name="Key Deliverables"/>
    <tableColumn id="7" name="Critical Dependencies"/>
    <tableColumn id="8" name="PA Milestone"/>
    <tableColumn id="9" name="Total Effort (SP)"/>
    <tableColumn id="10" name="Risk / Conditions"/>
    <tableColumn id="11" name="Acceptance Gate"/>
  </tableColumns>
  <tableStyleInfo name="TableStyleMedium2" showRowStripes="1"/>
</table>
</file>

<file path=xl/tables/table4.xml><?xml version="1.0" encoding="utf-8"?>
<table xmlns="http://schemas.openxmlformats.org/spreadsheetml/2006/main" id="4" name="MemberWorkload" displayName="MemberWorkload" ref="A1:K7" headerRowCount="1">
  <autoFilter ref="A1:K7"/>
  <tableColumns count="11">
    <tableColumn id="1" name="Member ID"/>
    <tableColumn id="2" name="Member Name"/>
    <tableColumn id="3" name="Role"/>
    <tableColumn id="4" name="Sprint 1 (SP)"/>
    <tableColumn id="5" name="Sprint 2 (SP)"/>
    <tableColumn id="6" name="Sprint 3 (SP)"/>
    <tableColumn id="7" name="Sprint 4 (SP)"/>
    <tableColumn id="8" name="Sprint 5 (SP)"/>
    <tableColumn id="9" name="Total (SP)"/>
    <tableColumn id="10" name="Share of Team"/>
    <tableColumn id="11" name="Capacity / Balance Note"/>
  </tableColumns>
  <tableStyleInfo name="TableStyleMedium2" showRowStripes="1"/>
</table>
</file>

<file path=xl/tables/table5.xml><?xml version="1.0" encoding="utf-8"?>
<table xmlns="http://schemas.openxmlformats.org/spreadsheetml/2006/main" id="5" name="PhaseSummary" displayName="PhaseSummary" ref="A1:L5" headerRowCount="1">
  <autoFilter ref="A1:L5"/>
  <tableColumns count="12">
    <tableColumn id="1" name="Phase ID"/>
    <tableColumn id="2" name="Phase Name"/>
    <tableColumn id="3" name="Objective"/>
    <tableColumn id="4" name="Sprint Range"/>
    <tableColumn id="5" name="Task IDs"/>
    <tableColumn id="6" name="Primary Task Owners"/>
    <tableColumn id="7" name="Sub-task Count"/>
    <tableColumn id="8" name="Total Effort (SP)"/>
    <tableColumn id="9" name="Start Date"/>
    <tableColumn id="10" name="Due Date"/>
    <tableColumn id="11" name="Key Deliverables"/>
    <tableColumn id="12" name="Initial Status"/>
  </tableColumns>
  <tableStyleInfo name="TableStyleMedium2" showRowStripes="1"/>
</table>
</file>

<file path=xl/tables/table6.xml><?xml version="1.0" encoding="utf-8"?>
<table xmlns="http://schemas.openxmlformats.org/spreadsheetml/2006/main" id="6" name="DependenciesMilestones" displayName="DependenciesMilestones" ref="A1:H107" headerRowCount="1">
  <autoFilter ref="A1:H107"/>
  <tableColumns count="8">
    <tableColumn id="1" name="Record Type"/>
    <tableColumn id="2" name="ID"/>
    <tableColumn id="3" name="Predecessor / Date"/>
    <tableColumn id="4" name="Successor / Sprint"/>
    <tableColumn id="5" name="Relationship / Name"/>
    <tableColumn id="6" name="Details / Deliverable"/>
    <tableColumn id="7" name="Status"/>
    <tableColumn id="8" name="Issue / Action"/>
  </tableColumns>
  <tableStyleInfo name="TableStyleMedium2" showRowStripes="1"/>
</table>
</file>

<file path=xl/tables/table7.xml><?xml version="1.0" encoding="utf-8"?>
<table xmlns="http://schemas.openxmlformats.org/spreadsheetml/2006/main" id="7" name="AssumptionsIssues" displayName="AssumptionsIssues" ref="A1:G17" headerRowCount="1">
  <autoFilter ref="A1:G17"/>
  <tableColumns count="7">
    <tableColumn id="1" name="ID"/>
    <tableColumn id="2" name="Type"/>
    <tableColumn id="3" name="Topic"/>
    <tableColumn id="4" name="Evidence / Assumption"/>
    <tableColumn id="5" name="Impact"/>
    <tableColumn id="6" name="Required Confirmation / Action"/>
    <tableColumn id="7" name="Status"/>
  </tableColumns>
  <tableStyleInfo name="TableStyleMedium2" showRowStripes="1"/>
</table>
</file>

<file path=xl/tables/table8.xml><?xml version="1.0" encoding="utf-8"?>
<table xmlns="http://schemas.openxmlformats.org/spreadsheetml/2006/main" id="8" name="JiraImport" displayName="JiraImport" ref="A1:P347" headerRowCount="1">
  <autoFilter ref="A1:P347"/>
  <tableColumns count="16">
    <tableColumn id="1" name="Issue Type"/>
    <tableColumn id="2" name="Issue ID"/>
    <tableColumn id="3" name="Parent ID"/>
    <tableColumn id="4" name="Summary"/>
    <tableColumn id="5" name="Description"/>
    <tableColumn id="6" name="Assignee ID"/>
    <tableColumn id="7" name="Assignee"/>
    <tableColumn id="8" name="Sprint"/>
    <tableColumn id="9" name="Start Date"/>
    <tableColumn id="10" name="Due Date"/>
    <tableColumn id="11" name="Priority"/>
    <tableColumn id="12" name="Labels"/>
    <tableColumn id="13" name="Original Row ID"/>
    <tableColumn id="14" name="Dependencies"/>
    <tableColumn id="15" name="Phase ID"/>
    <tableColumn id="16" name="Task 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4" customWidth="1" min="3" max="3"/>
    <col width="32" customWidth="1" min="4" max="4"/>
    <col width="38" customWidth="1" min="5" max="5"/>
    <col width="55" customWidth="1" min="6" max="6"/>
    <col width="23" customWidth="1" min="7" max="7"/>
    <col width="20" customWidth="1" min="8" max="8"/>
    <col width="55" customWidth="1" min="9" max="9"/>
    <col width="12" customWidth="1" min="10" max="10"/>
    <col width="34" customWidth="1" min="11" max="11"/>
    <col width="15" customWidth="1" min="12" max="12"/>
    <col width="50" customWidth="1" min="13" max="13"/>
    <col width="16" customWidth="1" min="14" max="14"/>
    <col width="24" customWidth="1" min="15" max="15"/>
    <col width="17" customWidth="1" min="16" max="16"/>
    <col width="14" customWidth="1" min="17" max="17"/>
    <col width="16" customWidth="1" min="18" max="18"/>
    <col width="25" customWidth="1" min="19" max="19"/>
    <col width="15" customWidth="1" min="20" max="20"/>
    <col width="15" customWidth="1" min="21" max="21"/>
    <col width="12" customWidth="1" min="22" max="22"/>
    <col width="14" customWidth="1" min="23" max="23"/>
    <col width="31" customWidth="1" min="24" max="24"/>
    <col width="28" customWidth="1" min="25" max="25"/>
    <col width="52" customWidth="1" min="26" max="26"/>
    <col width="70" customWidth="1" min="27" max="27"/>
    <col width="16" customWidth="1" min="28" max="28"/>
    <col width="75" customWidth="1" min="29" max="29"/>
  </cols>
  <sheetData>
    <row r="1" ht="34" customHeight="1">
      <c r="A1" s="1" t="inlineStr">
        <is>
          <t>Original Row ID</t>
        </is>
      </c>
      <c r="B1" s="1" t="inlineStr">
        <is>
          <t>Source Worksheet Row</t>
        </is>
      </c>
      <c r="C1" s="1" t="inlineStr">
        <is>
          <t>Original Stage</t>
        </is>
      </c>
      <c r="D1" s="1" t="inlineStr">
        <is>
          <t>Original Purpose</t>
        </is>
      </c>
      <c r="E1" s="1" t="inlineStr">
        <is>
          <t>Original Task</t>
        </is>
      </c>
      <c r="F1" s="1" t="inlineStr">
        <is>
          <t>Original Task Description</t>
        </is>
      </c>
      <c r="G1" s="1" t="inlineStr">
        <is>
          <t>Original Classification</t>
        </is>
      </c>
      <c r="H1" s="1" t="inlineStr">
        <is>
          <t>Original Sprint Proposal</t>
        </is>
      </c>
      <c r="I1" s="1" t="inlineStr">
        <is>
          <t>Original Source Rationale</t>
        </is>
      </c>
      <c r="J1" s="1" t="inlineStr">
        <is>
          <t>Phase ID</t>
        </is>
      </c>
      <c r="K1" s="1" t="inlineStr">
        <is>
          <t>Phase Name</t>
        </is>
      </c>
      <c r="L1" s="1" t="inlineStr">
        <is>
          <t>Task ID</t>
        </is>
      </c>
      <c r="M1" s="1" t="inlineStr">
        <is>
          <t>Task Name</t>
        </is>
      </c>
      <c r="N1" s="1" t="inlineStr">
        <is>
          <t>Task Owner ID</t>
        </is>
      </c>
      <c r="O1" s="1" t="inlineStr">
        <is>
          <t>Task Owner Name</t>
        </is>
      </c>
      <c r="P1" s="1" t="inlineStr">
        <is>
          <t>Sub-task ID</t>
        </is>
      </c>
      <c r="Q1" s="1" t="inlineStr">
        <is>
          <t>Sprint</t>
        </is>
      </c>
      <c r="R1" s="1" t="inlineStr">
        <is>
          <t>Assignee ID</t>
        </is>
      </c>
      <c r="S1" s="1" t="inlineStr">
        <is>
          <t>Assignee Name</t>
        </is>
      </c>
      <c r="T1" s="1" t="inlineStr">
        <is>
          <t>Start Date</t>
        </is>
      </c>
      <c r="U1" s="1" t="inlineStr">
        <is>
          <t>Due Date</t>
        </is>
      </c>
      <c r="V1" s="1" t="inlineStr">
        <is>
          <t>Effort</t>
        </is>
      </c>
      <c r="W1" s="1" t="inlineStr">
        <is>
          <t>Priority</t>
        </is>
      </c>
      <c r="X1" s="1" t="inlineStr">
        <is>
          <t>Work Type</t>
        </is>
      </c>
      <c r="Y1" s="1" t="inlineStr">
        <is>
          <t>Dependencies</t>
        </is>
      </c>
      <c r="Z1" s="1" t="inlineStr">
        <is>
          <t>Deliverable</t>
        </is>
      </c>
      <c r="AA1" s="1" t="inlineStr">
        <is>
          <t>Acceptance Criteria</t>
        </is>
      </c>
      <c r="AB1" s="1" t="inlineStr">
        <is>
          <t>Initial Status</t>
        </is>
      </c>
      <c r="AC1" s="1" t="inlineStr">
        <is>
          <t>Assumptions / Notes</t>
        </is>
      </c>
    </row>
    <row r="2">
      <c r="A2" s="2" t="inlineStr">
        <is>
          <t>ORIG-001</t>
        </is>
      </c>
      <c r="B2" s="2" t="n">
        <v>2</v>
      </c>
      <c r="C2" s="2" t="inlineStr">
        <is>
          <t>Phân tích nghiệp vụ &amp; thiết kế hệ thống</t>
        </is>
      </c>
      <c r="D2" s="2" t="inlineStr">
        <is>
          <t>Chốt hệ thống phải làm gì</t>
        </is>
      </c>
      <c r="E2" s="2" t="inlineStr">
        <is>
          <t>Xác định loại hệ thống</t>
        </is>
      </c>
      <c r="F2" s="2" t="inlineStr">
        <is>
          <t>Web App bán vé xem phim và quản lý rạp</t>
        </is>
      </c>
      <c r="G2" s="2" t="inlineStr">
        <is>
          <t>Bắt buộc</t>
        </is>
      </c>
      <c r="H2" s="2" t="inlineStr">
        <is>
          <t>Sprint 1</t>
        </is>
      </c>
      <c r="I2" s="2" t="inlineStr">
        <is>
          <t>Chốt phạm vi, actor, yêu cầu và luồng nghiệp vụ.</t>
        </is>
      </c>
      <c r="J2" s="2" t="inlineStr">
        <is>
          <t>PH-01</t>
        </is>
      </c>
      <c r="K2" s="2" t="inlineStr">
        <is>
          <t>Discovery &amp; PA1</t>
        </is>
      </c>
      <c r="L2" s="2" t="inlineStr">
        <is>
          <t>CIN-T-001</t>
        </is>
      </c>
      <c r="M2" s="2" t="inlineStr">
        <is>
          <t>Chốt phạm vi hệ thống và tác nhân</t>
        </is>
      </c>
      <c r="N2" s="2" t="inlineStr">
        <is>
          <t>24120271</t>
        </is>
      </c>
      <c r="O2" s="2" t="inlineStr">
        <is>
          <t>Nguyen Trung Chinh</t>
        </is>
      </c>
      <c r="P2" s="2" t="inlineStr">
        <is>
          <t>CIN-SUB-001</t>
        </is>
      </c>
      <c r="Q2" s="2" t="inlineStr">
        <is>
          <t>Sprint 1</t>
        </is>
      </c>
      <c r="R2" s="2" t="inlineStr">
        <is>
          <t>24120271</t>
        </is>
      </c>
      <c r="S2" s="2" t="inlineStr">
        <is>
          <t>Nguyen Trung Chinh</t>
        </is>
      </c>
      <c r="T2" s="3" t="n">
        <v>46298</v>
      </c>
      <c r="U2" s="3" t="n">
        <v>46311</v>
      </c>
      <c r="V2" s="2" t="n">
        <v>2</v>
      </c>
      <c r="W2" s="2" t="inlineStr">
        <is>
          <t>High</t>
        </is>
      </c>
      <c r="X2" s="2" t="inlineStr">
        <is>
          <t>Analysis</t>
        </is>
      </c>
      <c r="Y2" s="2" t="inlineStr"/>
      <c r="Z2" s="2" t="inlineStr">
        <is>
          <t>Hoàn tất kết quả gốc: Web App bán vé xem phim và quản lý rạp.</t>
        </is>
      </c>
      <c r="AA2" s="2" t="inlineStr">
        <is>
          <t>Kết quả gốc được kiểm tra và có bằng chứng gắn với CIN-SUB-001; ngoại lệ được ghi rõ.</t>
        </is>
      </c>
      <c r="AB2" s="2" t="inlineStr">
        <is>
          <t>Planned</t>
        </is>
      </c>
      <c r="AC2" s="2" t="inlineStr">
        <is>
          <t>Planned only; no completion evidence was transferred.</t>
        </is>
      </c>
    </row>
    <row r="3">
      <c r="A3" s="2" t="inlineStr">
        <is>
          <t>ORIG-002</t>
        </is>
      </c>
      <c r="B3" s="2" t="n">
        <v>3</v>
      </c>
      <c r="C3" s="2" t="inlineStr">
        <is>
          <t>Phân tích nghiệp vụ &amp; thiết kế hệ thống</t>
        </is>
      </c>
      <c r="D3" s="2" t="n"/>
      <c r="E3" s="2" t="inlineStr">
        <is>
          <t>Xác định phạm vi hệ thống</t>
        </is>
      </c>
      <c r="F3" s="2" t="inlineStr">
        <is>
          <t>Quản lý phim, phòng chiếu, ghế, loại vé, suất chiếu, đặt vé, thanh toán và tài khoản</t>
        </is>
      </c>
      <c r="G3" s="2" t="inlineStr">
        <is>
          <t>Bắt buộc</t>
        </is>
      </c>
      <c r="H3" s="2" t="inlineStr">
        <is>
          <t>Sprint 1</t>
        </is>
      </c>
      <c r="I3" s="2" t="inlineStr">
        <is>
          <t>Chốt phạm vi, actor, yêu cầu và luồng nghiệp vụ.</t>
        </is>
      </c>
      <c r="J3" s="2" t="inlineStr">
        <is>
          <t>PH-01</t>
        </is>
      </c>
      <c r="K3" s="2" t="inlineStr">
        <is>
          <t>Discovery &amp; PA1</t>
        </is>
      </c>
      <c r="L3" s="2" t="inlineStr">
        <is>
          <t>CIN-T-001</t>
        </is>
      </c>
      <c r="M3" s="2" t="inlineStr">
        <is>
          <t>Chốt phạm vi hệ thống và tác nhân</t>
        </is>
      </c>
      <c r="N3" s="2" t="inlineStr">
        <is>
          <t>24120271</t>
        </is>
      </c>
      <c r="O3" s="2" t="inlineStr">
        <is>
          <t>Nguyen Trung Chinh</t>
        </is>
      </c>
      <c r="P3" s="2" t="inlineStr">
        <is>
          <t>CIN-SUB-002</t>
        </is>
      </c>
      <c r="Q3" s="2" t="inlineStr">
        <is>
          <t>Sprint 1</t>
        </is>
      </c>
      <c r="R3" s="2" t="inlineStr">
        <is>
          <t>24120244</t>
        </is>
      </c>
      <c r="S3" s="2" t="inlineStr">
        <is>
          <t>Phan Van Viet</t>
        </is>
      </c>
      <c r="T3" s="3" t="n">
        <v>46298</v>
      </c>
      <c r="U3" s="3" t="n">
        <v>46311</v>
      </c>
      <c r="V3" s="2" t="n">
        <v>2</v>
      </c>
      <c r="W3" s="2" t="inlineStr">
        <is>
          <t>High</t>
        </is>
      </c>
      <c r="X3" s="2" t="inlineStr">
        <is>
          <t>Analysis</t>
        </is>
      </c>
      <c r="Y3" s="2" t="inlineStr"/>
      <c r="Z3" s="2" t="inlineStr">
        <is>
          <t>Hoàn tất kết quả gốc: Quản lý phim, phòng chiếu, ghế, loại vé, suất chiếu, đặt vé, thanh toán và tài khoản.</t>
        </is>
      </c>
      <c r="AA3" s="2" t="inlineStr">
        <is>
          <t>Kết quả gốc được kiểm tra và có bằng chứng gắn với CIN-SUB-002; ngoại lệ được ghi rõ.</t>
        </is>
      </c>
      <c r="AB3" s="2" t="inlineStr">
        <is>
          <t>Planned</t>
        </is>
      </c>
      <c r="AC3" s="2" t="inlineStr">
        <is>
          <t>Planned only; no completion evidence was transferred.</t>
        </is>
      </c>
    </row>
    <row r="4">
      <c r="A4" s="2" t="inlineStr">
        <is>
          <t>ORIG-003</t>
        </is>
      </c>
      <c r="B4" s="2" t="n">
        <v>4</v>
      </c>
      <c r="C4" s="2" t="inlineStr">
        <is>
          <t>Phân tích nghiệp vụ &amp; thiết kế hệ thống</t>
        </is>
      </c>
      <c r="D4" s="2" t="n"/>
      <c r="E4" s="2" t="inlineStr">
        <is>
          <t>Xác định Actor</t>
        </is>
      </c>
      <c r="F4" s="2" t="inlineStr">
        <is>
          <t>Customer, Staff, Manager, Admin</t>
        </is>
      </c>
      <c r="G4" s="2" t="inlineStr">
        <is>
          <t>Bắt buộc</t>
        </is>
      </c>
      <c r="H4" s="2" t="inlineStr">
        <is>
          <t>Sprint 1</t>
        </is>
      </c>
      <c r="I4" s="2" t="inlineStr">
        <is>
          <t>Chốt phạm vi, actor, yêu cầu và luồng nghiệp vụ.</t>
        </is>
      </c>
      <c r="J4" s="2" t="inlineStr">
        <is>
          <t>PH-01</t>
        </is>
      </c>
      <c r="K4" s="2" t="inlineStr">
        <is>
          <t>Discovery &amp; PA1</t>
        </is>
      </c>
      <c r="L4" s="2" t="inlineStr">
        <is>
          <t>CIN-T-001</t>
        </is>
      </c>
      <c r="M4" s="2" t="inlineStr">
        <is>
          <t>Chốt phạm vi hệ thống và tác nhân</t>
        </is>
      </c>
      <c r="N4" s="2" t="inlineStr">
        <is>
          <t>24120271</t>
        </is>
      </c>
      <c r="O4" s="2" t="inlineStr">
        <is>
          <t>Nguyen Trung Chinh</t>
        </is>
      </c>
      <c r="P4" s="2" t="inlineStr">
        <is>
          <t>CIN-SUB-003</t>
        </is>
      </c>
      <c r="Q4" s="2" t="inlineStr">
        <is>
          <t>Sprint 1</t>
        </is>
      </c>
      <c r="R4" s="2" t="inlineStr">
        <is>
          <t>24120255</t>
        </is>
      </c>
      <c r="S4" s="2" t="inlineStr">
        <is>
          <t>Tran Thien An</t>
        </is>
      </c>
      <c r="T4" s="3" t="n">
        <v>46298</v>
      </c>
      <c r="U4" s="3" t="n">
        <v>46311</v>
      </c>
      <c r="V4" s="2" t="n">
        <v>2</v>
      </c>
      <c r="W4" s="2" t="inlineStr">
        <is>
          <t>High</t>
        </is>
      </c>
      <c r="X4" s="2" t="inlineStr">
        <is>
          <t>Analysis</t>
        </is>
      </c>
      <c r="Y4" s="2" t="inlineStr"/>
      <c r="Z4" s="2" t="inlineStr">
        <is>
          <t>Hoàn tất kết quả gốc: Customer, Staff, Manager, Admin.</t>
        </is>
      </c>
      <c r="AA4" s="2" t="inlineStr">
        <is>
          <t>Kết quả gốc được kiểm tra và có bằng chứng gắn với CIN-SUB-003; ngoại lệ được ghi rõ.</t>
        </is>
      </c>
      <c r="AB4" s="2" t="inlineStr">
        <is>
          <t>Planned</t>
        </is>
      </c>
      <c r="AC4" s="2" t="inlineStr">
        <is>
          <t>Planned only; no completion evidence was transferred.</t>
        </is>
      </c>
    </row>
    <row r="5">
      <c r="A5" s="2" t="inlineStr">
        <is>
          <t>ORIG-004</t>
        </is>
      </c>
      <c r="B5" s="2" t="n">
        <v>5</v>
      </c>
      <c r="C5" s="2" t="inlineStr">
        <is>
          <t>Phân tích nghiệp vụ &amp; thiết kế hệ thống</t>
        </is>
      </c>
      <c r="D5" s="2" t="n"/>
      <c r="E5" s="2" t="inlineStr">
        <is>
          <t>Xác định nghiệp vụ chính</t>
        </is>
      </c>
      <c r="F5" s="2" t="inlineStr">
        <is>
          <t>Xem phim, xem lịch chiếu, chọn ghế, đặt vé, thanh toán, quản lý phim, quản lý phòng,...</t>
        </is>
      </c>
      <c r="G5" s="2" t="inlineStr">
        <is>
          <t>Bắt buộc</t>
        </is>
      </c>
      <c r="H5" s="2" t="inlineStr">
        <is>
          <t>Sprint 1</t>
        </is>
      </c>
      <c r="I5" s="2" t="inlineStr">
        <is>
          <t>Chốt phạm vi, actor, yêu cầu và luồng nghiệp vụ.</t>
        </is>
      </c>
      <c r="J5" s="2" t="inlineStr">
        <is>
          <t>PH-01</t>
        </is>
      </c>
      <c r="K5" s="2" t="inlineStr">
        <is>
          <t>Discovery &amp; PA1</t>
        </is>
      </c>
      <c r="L5" s="2" t="inlineStr">
        <is>
          <t>CIN-T-001</t>
        </is>
      </c>
      <c r="M5" s="2" t="inlineStr">
        <is>
          <t>Chốt phạm vi hệ thống và tác nhân</t>
        </is>
      </c>
      <c r="N5" s="2" t="inlineStr">
        <is>
          <t>24120271</t>
        </is>
      </c>
      <c r="O5" s="2" t="inlineStr">
        <is>
          <t>Nguyen Trung Chinh</t>
        </is>
      </c>
      <c r="P5" s="2" t="inlineStr">
        <is>
          <t>CIN-SUB-004</t>
        </is>
      </c>
      <c r="Q5" s="2" t="inlineStr">
        <is>
          <t>Sprint 1</t>
        </is>
      </c>
      <c r="R5" s="2" t="inlineStr">
        <is>
          <t>24120235</t>
        </is>
      </c>
      <c r="S5" s="2" t="inlineStr">
        <is>
          <t>Huynh Thanh Tu</t>
        </is>
      </c>
      <c r="T5" s="3" t="n">
        <v>46298</v>
      </c>
      <c r="U5" s="3" t="n">
        <v>46311</v>
      </c>
      <c r="V5" s="2" t="n">
        <v>2</v>
      </c>
      <c r="W5" s="2" t="inlineStr">
        <is>
          <t>High</t>
        </is>
      </c>
      <c r="X5" s="2" t="inlineStr">
        <is>
          <t>Analysis</t>
        </is>
      </c>
      <c r="Y5" s="2" t="inlineStr"/>
      <c r="Z5" s="2" t="inlineStr">
        <is>
          <t>Hoàn tất kết quả gốc: Xem phim, xem lịch chiếu, chọn ghế, đặt vé, thanh toán, quản lý phim, quản lý phòng,....</t>
        </is>
      </c>
      <c r="AA5" s="2" t="inlineStr">
        <is>
          <t>Kết quả gốc được kiểm tra và có bằng chứng gắn với CIN-SUB-004; ngoại lệ được ghi rõ.</t>
        </is>
      </c>
      <c r="AB5" s="2" t="inlineStr">
        <is>
          <t>Planned</t>
        </is>
      </c>
      <c r="AC5" s="2" t="inlineStr">
        <is>
          <t>Planned only; no completion evidence was transferred.</t>
        </is>
      </c>
    </row>
    <row r="6">
      <c r="A6" s="2" t="inlineStr">
        <is>
          <t>ORIG-005</t>
        </is>
      </c>
      <c r="B6" s="2" t="n">
        <v>6</v>
      </c>
      <c r="C6" s="2" t="inlineStr">
        <is>
          <t>Phân tích nghiệp vụ &amp; thiết kế hệ thống</t>
        </is>
      </c>
      <c r="D6" s="2" t="n"/>
      <c r="E6" s="2" t="inlineStr">
        <is>
          <t>Xác định đối tượng dữ liệu</t>
        </is>
      </c>
      <c r="F6" s="2" t="inlineStr">
        <is>
          <t>Movie, Genre, CinemaRoom, Seat, SeatType, TicketType, Showtime, Booking, BookingDetail, Ticket, Payment, User, Role, Cinema, MovieGenre, UserRole, PaymentEvent, Refund</t>
        </is>
      </c>
      <c r="G6" s="2" t="inlineStr">
        <is>
          <t>Mở rộng</t>
        </is>
      </c>
      <c r="H6" s="2" t="inlineStr">
        <is>
          <t>Sprint 5</t>
        </is>
      </c>
      <c r="I6" s="2" t="inlineStr">
        <is>
          <t>Hạng mục nâng cao/phụ thuộc môi trường; xác nhận rubric và khả năng trước khi cam kết.</t>
        </is>
      </c>
      <c r="J6" s="2" t="inlineStr">
        <is>
          <t>PH-01</t>
        </is>
      </c>
      <c r="K6" s="2" t="inlineStr">
        <is>
          <t>Discovery &amp; PA1</t>
        </is>
      </c>
      <c r="L6" s="2" t="inlineStr">
        <is>
          <t>CIN-T-002</t>
        </is>
      </c>
      <c r="M6" s="2" t="inlineStr">
        <is>
          <t>Đặc tả luồng nghiệp vụ khách hàng và quản trị</t>
        </is>
      </c>
      <c r="N6" s="2" t="inlineStr">
        <is>
          <t>24120098</t>
        </is>
      </c>
      <c r="O6" s="2" t="inlineStr">
        <is>
          <t>Nguyen Quoc Nam</t>
        </is>
      </c>
      <c r="P6" s="2" t="inlineStr">
        <is>
          <t>CIN-SUB-005</t>
        </is>
      </c>
      <c r="Q6" s="2" t="inlineStr">
        <is>
          <t>Sprint 1</t>
        </is>
      </c>
      <c r="R6" s="2" t="inlineStr">
        <is>
          <t>24120098</t>
        </is>
      </c>
      <c r="S6" s="2" t="inlineStr">
        <is>
          <t>Nguyen Quoc Nam</t>
        </is>
      </c>
      <c r="T6" s="3" t="n">
        <v>46298</v>
      </c>
      <c r="U6" s="3" t="n">
        <v>46311</v>
      </c>
      <c r="V6" s="2" t="n">
        <v>2</v>
      </c>
      <c r="W6" s="2" t="inlineStr">
        <is>
          <t>High</t>
        </is>
      </c>
      <c r="X6" s="2" t="inlineStr">
        <is>
          <t>Analysis</t>
        </is>
      </c>
      <c r="Y6" s="2" t="inlineStr">
        <is>
          <t>CIN-T-001</t>
        </is>
      </c>
      <c r="Z6" s="2" t="inlineStr">
        <is>
          <t>Hoàn tất kết quả gốc: Movie, Genre, CinemaRoom, Seat, SeatType, TicketType, Showtime, Booking, BookingDetail, Ticket, Payment, User, Role, Cinema, MovieGenre, UserRole, PaymentEvent, Refund.</t>
        </is>
      </c>
      <c r="AA6" s="2" t="inlineStr">
        <is>
          <t>Kết quả gốc được kiểm tra và có bằng chứng gắn với CIN-SUB-005; ngoại lệ được ghi rõ.</t>
        </is>
      </c>
      <c r="AB6" s="2" t="inlineStr">
        <is>
          <t>Planned</t>
        </is>
      </c>
      <c r="AC6" s="2" t="inlineStr">
        <is>
          <t>Planned only; no completion evidence was transferred.</t>
        </is>
      </c>
    </row>
    <row r="7">
      <c r="A7" s="2" t="inlineStr">
        <is>
          <t>ORIG-006</t>
        </is>
      </c>
      <c r="B7" s="2" t="n">
        <v>7</v>
      </c>
      <c r="C7" s="2" t="inlineStr">
        <is>
          <t>Phân tích nghiệp vụ &amp; thiết kế hệ thống</t>
        </is>
      </c>
      <c r="D7" s="2" t="n"/>
      <c r="E7" s="2" t="inlineStr">
        <is>
          <t>Phân tích luồng khách hàng</t>
        </is>
      </c>
      <c r="F7" s="2" t="inlineStr">
        <is>
          <t>Đăng nhập → chọn phim → chọn suất → chọn ghế → chọn vé → thanh toán → nhận vé</t>
        </is>
      </c>
      <c r="G7" s="2" t="inlineStr">
        <is>
          <t>Bắt buộc</t>
        </is>
      </c>
      <c r="H7" s="2" t="inlineStr">
        <is>
          <t>Sprint 1</t>
        </is>
      </c>
      <c r="I7" s="2" t="inlineStr">
        <is>
          <t>Chốt phạm vi, actor, yêu cầu và luồng nghiệp vụ.</t>
        </is>
      </c>
      <c r="J7" s="2" t="inlineStr">
        <is>
          <t>PH-01</t>
        </is>
      </c>
      <c r="K7" s="2" t="inlineStr">
        <is>
          <t>Discovery &amp; PA1</t>
        </is>
      </c>
      <c r="L7" s="2" t="inlineStr">
        <is>
          <t>CIN-T-002</t>
        </is>
      </c>
      <c r="M7" s="2" t="inlineStr">
        <is>
          <t>Đặc tả luồng nghiệp vụ khách hàng và quản trị</t>
        </is>
      </c>
      <c r="N7" s="2" t="inlineStr">
        <is>
          <t>24120098</t>
        </is>
      </c>
      <c r="O7" s="2" t="inlineStr">
        <is>
          <t>Nguyen Quoc Nam</t>
        </is>
      </c>
      <c r="P7" s="2" t="inlineStr">
        <is>
          <t>CIN-SUB-006</t>
        </is>
      </c>
      <c r="Q7" s="2" t="inlineStr">
        <is>
          <t>Sprint 1</t>
        </is>
      </c>
      <c r="R7" s="2" t="inlineStr">
        <is>
          <t>24120271</t>
        </is>
      </c>
      <c r="S7" s="2" t="inlineStr">
        <is>
          <t>Nguyen Trung Chinh</t>
        </is>
      </c>
      <c r="T7" s="3" t="n">
        <v>46298</v>
      </c>
      <c r="U7" s="3" t="n">
        <v>46311</v>
      </c>
      <c r="V7" s="2" t="n">
        <v>2</v>
      </c>
      <c r="W7" s="2" t="inlineStr">
        <is>
          <t>High</t>
        </is>
      </c>
      <c r="X7" s="2" t="inlineStr">
        <is>
          <t>Analysis</t>
        </is>
      </c>
      <c r="Y7" s="2" t="inlineStr">
        <is>
          <t>CIN-T-001</t>
        </is>
      </c>
      <c r="Z7" s="2" t="inlineStr">
        <is>
          <t>Hoàn tất kết quả gốc: Đăng nhập → chọn phim → chọn suất → chọn ghế → chọn vé → thanh toán → nhận vé.</t>
        </is>
      </c>
      <c r="AA7" s="2" t="inlineStr">
        <is>
          <t>Kết quả gốc được kiểm tra và có bằng chứng gắn với CIN-SUB-006; ngoại lệ được ghi rõ.</t>
        </is>
      </c>
      <c r="AB7" s="2" t="inlineStr">
        <is>
          <t>Planned</t>
        </is>
      </c>
      <c r="AC7" s="2" t="inlineStr">
        <is>
          <t>Planned only; no completion evidence was transferred.</t>
        </is>
      </c>
    </row>
    <row r="8">
      <c r="A8" s="2" t="inlineStr">
        <is>
          <t>ORIG-007</t>
        </is>
      </c>
      <c r="B8" s="2" t="n">
        <v>8</v>
      </c>
      <c r="C8" s="2" t="inlineStr">
        <is>
          <t>Phân tích nghiệp vụ &amp; thiết kế hệ thống</t>
        </is>
      </c>
      <c r="D8" s="2" t="n"/>
      <c r="E8" s="2" t="inlineStr">
        <is>
          <t>Phân tích luồng quản trị</t>
        </is>
      </c>
      <c r="F8" s="2" t="inlineStr">
        <is>
          <t>Login → Dashboard → quản lý phim / phòng / ghế / suất chiếu / booking</t>
        </is>
      </c>
      <c r="G8" s="2" t="inlineStr">
        <is>
          <t>Bắt buộc</t>
        </is>
      </c>
      <c r="H8" s="2" t="inlineStr">
        <is>
          <t>Sprint 1</t>
        </is>
      </c>
      <c r="I8" s="2" t="inlineStr">
        <is>
          <t>Chốt phạm vi, actor, yêu cầu và luồng nghiệp vụ.</t>
        </is>
      </c>
      <c r="J8" s="2" t="inlineStr">
        <is>
          <t>PH-01</t>
        </is>
      </c>
      <c r="K8" s="2" t="inlineStr">
        <is>
          <t>Discovery &amp; PA1</t>
        </is>
      </c>
      <c r="L8" s="2" t="inlineStr">
        <is>
          <t>CIN-T-002</t>
        </is>
      </c>
      <c r="M8" s="2" t="inlineStr">
        <is>
          <t>Đặc tả luồng nghiệp vụ khách hàng và quản trị</t>
        </is>
      </c>
      <c r="N8" s="2" t="inlineStr">
        <is>
          <t>24120098</t>
        </is>
      </c>
      <c r="O8" s="2" t="inlineStr">
        <is>
          <t>Nguyen Quoc Nam</t>
        </is>
      </c>
      <c r="P8" s="2" t="inlineStr">
        <is>
          <t>CIN-SUB-007</t>
        </is>
      </c>
      <c r="Q8" s="2" t="inlineStr">
        <is>
          <t>Sprint 1</t>
        </is>
      </c>
      <c r="R8" s="2" t="inlineStr">
        <is>
          <t>24120244</t>
        </is>
      </c>
      <c r="S8" s="2" t="inlineStr">
        <is>
          <t>Phan Van Viet</t>
        </is>
      </c>
      <c r="T8" s="3" t="n">
        <v>46298</v>
      </c>
      <c r="U8" s="3" t="n">
        <v>46311</v>
      </c>
      <c r="V8" s="2" t="n">
        <v>3</v>
      </c>
      <c r="W8" s="2" t="inlineStr">
        <is>
          <t>High</t>
        </is>
      </c>
      <c r="X8" s="2" t="inlineStr">
        <is>
          <t>Analysis</t>
        </is>
      </c>
      <c r="Y8" s="2" t="inlineStr">
        <is>
          <t>CIN-T-001</t>
        </is>
      </c>
      <c r="Z8" s="2" t="inlineStr">
        <is>
          <t>Hoàn tất kết quả gốc: Login → Dashboard → quản lý phim / phòng / ghế / suất chiếu / booking.</t>
        </is>
      </c>
      <c r="AA8" s="2" t="inlineStr">
        <is>
          <t>Kết quả gốc được kiểm tra và có bằng chứng gắn với CIN-SUB-007; ngoại lệ được ghi rõ.</t>
        </is>
      </c>
      <c r="AB8" s="2" t="inlineStr">
        <is>
          <t>Planned</t>
        </is>
      </c>
      <c r="AC8" s="2" t="inlineStr">
        <is>
          <t>Planned only; no completion evidence was transferred.</t>
        </is>
      </c>
    </row>
    <row r="9">
      <c r="A9" s="2" t="inlineStr">
        <is>
          <t>ORIG-008</t>
        </is>
      </c>
      <c r="B9" s="2" t="n">
        <v>9</v>
      </c>
      <c r="C9" s="2" t="inlineStr">
        <is>
          <t>Phân tích nghiệp vụ &amp; thiết kế hệ thống</t>
        </is>
      </c>
      <c r="D9" s="2" t="n"/>
      <c r="E9" s="2" t="inlineStr">
        <is>
          <t>Phân tích nghiệp vụ đặt vé</t>
        </is>
      </c>
      <c r="F9" s="2" t="inlineStr">
        <is>
          <t>Xác định quy tắc đặt, giữ, thanh toán và hủy vé</t>
        </is>
      </c>
      <c r="G9" s="2" t="inlineStr">
        <is>
          <t>Bắt buộc</t>
        </is>
      </c>
      <c r="H9" s="2" t="inlineStr">
        <is>
          <t>Sprint 1</t>
        </is>
      </c>
      <c r="I9" s="2" t="inlineStr">
        <is>
          <t>Chốt phạm vi, actor, yêu cầu và luồng nghiệp vụ.</t>
        </is>
      </c>
      <c r="J9" s="2" t="inlineStr">
        <is>
          <t>PH-01</t>
        </is>
      </c>
      <c r="K9" s="2" t="inlineStr">
        <is>
          <t>Discovery &amp; PA1</t>
        </is>
      </c>
      <c r="L9" s="2" t="inlineStr">
        <is>
          <t>CIN-T-002</t>
        </is>
      </c>
      <c r="M9" s="2" t="inlineStr">
        <is>
          <t>Đặc tả luồng nghiệp vụ khách hàng và quản trị</t>
        </is>
      </c>
      <c r="N9" s="2" t="inlineStr">
        <is>
          <t>24120098</t>
        </is>
      </c>
      <c r="O9" s="2" t="inlineStr">
        <is>
          <t>Nguyen Quoc Nam</t>
        </is>
      </c>
      <c r="P9" s="2" t="inlineStr">
        <is>
          <t>CIN-SUB-008</t>
        </is>
      </c>
      <c r="Q9" s="2" t="inlineStr">
        <is>
          <t>Sprint 1</t>
        </is>
      </c>
      <c r="R9" s="2" t="inlineStr">
        <is>
          <t>24120255</t>
        </is>
      </c>
      <c r="S9" s="2" t="inlineStr">
        <is>
          <t>Tran Thien An</t>
        </is>
      </c>
      <c r="T9" s="3" t="n">
        <v>46298</v>
      </c>
      <c r="U9" s="3" t="n">
        <v>46311</v>
      </c>
      <c r="V9" s="2" t="n">
        <v>2</v>
      </c>
      <c r="W9" s="2" t="inlineStr">
        <is>
          <t>High</t>
        </is>
      </c>
      <c r="X9" s="2" t="inlineStr">
        <is>
          <t>Analysis</t>
        </is>
      </c>
      <c r="Y9" s="2" t="inlineStr">
        <is>
          <t>CIN-T-001</t>
        </is>
      </c>
      <c r="Z9" s="2" t="inlineStr">
        <is>
          <t>Hoàn tất kết quả gốc: Xác định quy tắc đặt, giữ, thanh toán và hủy vé.</t>
        </is>
      </c>
      <c r="AA9" s="2" t="inlineStr">
        <is>
          <t>Kết quả gốc được kiểm tra và có bằng chứng gắn với CIN-SUB-008; ngoại lệ được ghi rõ.</t>
        </is>
      </c>
      <c r="AB9" s="2" t="inlineStr">
        <is>
          <t>Planned</t>
        </is>
      </c>
      <c r="AC9" s="2" t="inlineStr">
        <is>
          <t>Planned only; no completion evidence was transferred.</t>
        </is>
      </c>
    </row>
    <row r="10">
      <c r="A10" s="2" t="inlineStr">
        <is>
          <t>ORIG-009</t>
        </is>
      </c>
      <c r="B10" s="2" t="n">
        <v>10</v>
      </c>
      <c r="C10" s="2" t="inlineStr">
        <is>
          <t>Phân tích nghiệp vụ &amp; thiết kế hệ thống</t>
        </is>
      </c>
      <c r="D10" s="2" t="n"/>
      <c r="E10" s="2" t="inlineStr">
        <is>
          <t>Phân tích nghiệp vụ phòng chiếu</t>
        </is>
      </c>
      <c r="F10" s="2" t="inlineStr">
        <is>
          <t>Phòng, sơ đồ ghế, loại ghế, sức chứa</t>
        </is>
      </c>
      <c r="G10" s="2" t="inlineStr">
        <is>
          <t>Bắt buộc</t>
        </is>
      </c>
      <c r="H10" s="2" t="inlineStr">
        <is>
          <t>Sprint 1</t>
        </is>
      </c>
      <c r="I10" s="2" t="inlineStr">
        <is>
          <t>Chốt phạm vi, actor, yêu cầu và luồng nghiệp vụ.</t>
        </is>
      </c>
      <c r="J10" s="2" t="inlineStr">
        <is>
          <t>PH-01</t>
        </is>
      </c>
      <c r="K10" s="2" t="inlineStr">
        <is>
          <t>Discovery &amp; PA1</t>
        </is>
      </c>
      <c r="L10" s="2" t="inlineStr">
        <is>
          <t>CIN-T-002</t>
        </is>
      </c>
      <c r="M10" s="2" t="inlineStr">
        <is>
          <t>Đặc tả luồng nghiệp vụ khách hàng và quản trị</t>
        </is>
      </c>
      <c r="N10" s="2" t="inlineStr">
        <is>
          <t>24120098</t>
        </is>
      </c>
      <c r="O10" s="2" t="inlineStr">
        <is>
          <t>Nguyen Quoc Nam</t>
        </is>
      </c>
      <c r="P10" s="2" t="inlineStr">
        <is>
          <t>CIN-SUB-009</t>
        </is>
      </c>
      <c r="Q10" s="2" t="inlineStr">
        <is>
          <t>Sprint 1</t>
        </is>
      </c>
      <c r="R10" s="2" t="inlineStr">
        <is>
          <t>24120235</t>
        </is>
      </c>
      <c r="S10" s="2" t="inlineStr">
        <is>
          <t>Huynh Thanh Tu</t>
        </is>
      </c>
      <c r="T10" s="3" t="n">
        <v>46298</v>
      </c>
      <c r="U10" s="3" t="n">
        <v>46311</v>
      </c>
      <c r="V10" s="2" t="n">
        <v>2</v>
      </c>
      <c r="W10" s="2" t="inlineStr">
        <is>
          <t>High</t>
        </is>
      </c>
      <c r="X10" s="2" t="inlineStr">
        <is>
          <t>Analysis</t>
        </is>
      </c>
      <c r="Y10" s="2" t="inlineStr">
        <is>
          <t>CIN-T-001</t>
        </is>
      </c>
      <c r="Z10" s="2" t="inlineStr">
        <is>
          <t>Hoàn tất kết quả gốc: Phòng, sơ đồ ghế, loại ghế, sức chứa.</t>
        </is>
      </c>
      <c r="AA10" s="2" t="inlineStr">
        <is>
          <t>Kết quả gốc được kiểm tra và có bằng chứng gắn với CIN-SUB-009; ngoại lệ được ghi rõ.</t>
        </is>
      </c>
      <c r="AB10" s="2" t="inlineStr">
        <is>
          <t>Planned</t>
        </is>
      </c>
      <c r="AC10" s="2" t="inlineStr">
        <is>
          <t>Planned only; no completion evidence was transferred.</t>
        </is>
      </c>
    </row>
    <row r="11">
      <c r="A11" s="2" t="inlineStr">
        <is>
          <t>ORIG-010</t>
        </is>
      </c>
      <c r="B11" s="2" t="n">
        <v>11</v>
      </c>
      <c r="C11" s="2" t="inlineStr">
        <is>
          <t>Phân tích nghiệp vụ &amp; thiết kế hệ thống</t>
        </is>
      </c>
      <c r="D11" s="2" t="n"/>
      <c r="E11" s="2" t="inlineStr">
        <is>
          <t>Phân tích nghiệp vụ lịch chiếu</t>
        </is>
      </c>
      <c r="F11" s="2" t="inlineStr">
        <is>
          <t>Phim + phòng + thời gian + trạng thái</t>
        </is>
      </c>
      <c r="G11" s="2" t="inlineStr">
        <is>
          <t>Bắt buộc</t>
        </is>
      </c>
      <c r="H11" s="2" t="inlineStr">
        <is>
          <t>Sprint 1</t>
        </is>
      </c>
      <c r="I11" s="2" t="inlineStr">
        <is>
          <t>Chốt phạm vi, actor, yêu cầu và luồng nghiệp vụ.</t>
        </is>
      </c>
      <c r="J11" s="2" t="inlineStr">
        <is>
          <t>PH-01</t>
        </is>
      </c>
      <c r="K11" s="2" t="inlineStr">
        <is>
          <t>Discovery &amp; PA1</t>
        </is>
      </c>
      <c r="L11" s="2" t="inlineStr">
        <is>
          <t>CIN-T-002</t>
        </is>
      </c>
      <c r="M11" s="2" t="inlineStr">
        <is>
          <t>Đặc tả luồng nghiệp vụ khách hàng và quản trị</t>
        </is>
      </c>
      <c r="N11" s="2" t="inlineStr">
        <is>
          <t>24120098</t>
        </is>
      </c>
      <c r="O11" s="2" t="inlineStr">
        <is>
          <t>Nguyen Quoc Nam</t>
        </is>
      </c>
      <c r="P11" s="2" t="inlineStr">
        <is>
          <t>CIN-SUB-010</t>
        </is>
      </c>
      <c r="Q11" s="2" t="inlineStr">
        <is>
          <t>Sprint 1</t>
        </is>
      </c>
      <c r="R11" s="2" t="inlineStr">
        <is>
          <t>24120098</t>
        </is>
      </c>
      <c r="S11" s="2" t="inlineStr">
        <is>
          <t>Nguyen Quoc Nam</t>
        </is>
      </c>
      <c r="T11" s="3" t="n">
        <v>46298</v>
      </c>
      <c r="U11" s="3" t="n">
        <v>46311</v>
      </c>
      <c r="V11" s="2" t="n">
        <v>2</v>
      </c>
      <c r="W11" s="2" t="inlineStr">
        <is>
          <t>High</t>
        </is>
      </c>
      <c r="X11" s="2" t="inlineStr">
        <is>
          <t>Analysis</t>
        </is>
      </c>
      <c r="Y11" s="2" t="inlineStr">
        <is>
          <t>CIN-T-001</t>
        </is>
      </c>
      <c r="Z11" s="2" t="inlineStr">
        <is>
          <t>Hoàn tất kết quả gốc: Phim + phòng + thời gian + trạng thái.</t>
        </is>
      </c>
      <c r="AA11" s="2" t="inlineStr">
        <is>
          <t>Kết quả gốc được kiểm tra và có bằng chứng gắn với CIN-SUB-010; ngoại lệ được ghi rõ.</t>
        </is>
      </c>
      <c r="AB11" s="2" t="inlineStr">
        <is>
          <t>Planned</t>
        </is>
      </c>
      <c r="AC11" s="2" t="inlineStr">
        <is>
          <t>Planned only; no completion evidence was transferred.</t>
        </is>
      </c>
    </row>
    <row r="12">
      <c r="A12" s="2" t="inlineStr">
        <is>
          <t>ORIG-011</t>
        </is>
      </c>
      <c r="B12" s="2" t="n">
        <v>12</v>
      </c>
      <c r="C12" s="2" t="inlineStr">
        <is>
          <t>Phân tích nghiệp vụ &amp; thiết kế hệ thống</t>
        </is>
      </c>
      <c r="D12" s="2" t="n"/>
      <c r="E12" s="2" t="inlineStr">
        <is>
          <t>Phân tích nghiệp vụ thanh toán</t>
        </is>
      </c>
      <c r="F12" s="2" t="inlineStr">
        <is>
          <t>created, pending, unknown, succeeded, failed, cancelled, refund</t>
        </is>
      </c>
      <c r="G12" s="2" t="inlineStr">
        <is>
          <t>Mở rộng</t>
        </is>
      </c>
      <c r="H12" s="2" t="inlineStr">
        <is>
          <t>Sprint 5</t>
        </is>
      </c>
      <c r="I12" s="2" t="inlineStr">
        <is>
          <t>Hạng mục nâng cao/phụ thuộc môi trường; xác nhận rubric và khả năng trước khi cam kết.</t>
        </is>
      </c>
      <c r="J12" s="2" t="inlineStr">
        <is>
          <t>PH-01</t>
        </is>
      </c>
      <c r="K12" s="2" t="inlineStr">
        <is>
          <t>Discovery &amp; PA1</t>
        </is>
      </c>
      <c r="L12" s="2" t="inlineStr">
        <is>
          <t>CIN-T-002</t>
        </is>
      </c>
      <c r="M12" s="2" t="inlineStr">
        <is>
          <t>Đặc tả luồng nghiệp vụ khách hàng và quản trị</t>
        </is>
      </c>
      <c r="N12" s="2" t="inlineStr">
        <is>
          <t>24120098</t>
        </is>
      </c>
      <c r="O12" s="2" t="inlineStr">
        <is>
          <t>Nguyen Quoc Nam</t>
        </is>
      </c>
      <c r="P12" s="2" t="inlineStr">
        <is>
          <t>CIN-SUB-011</t>
        </is>
      </c>
      <c r="Q12" s="2" t="inlineStr">
        <is>
          <t>Sprint 1</t>
        </is>
      </c>
      <c r="R12" s="2" t="inlineStr">
        <is>
          <t>24120271</t>
        </is>
      </c>
      <c r="S12" s="2" t="inlineStr">
        <is>
          <t>Nguyen Trung Chinh</t>
        </is>
      </c>
      <c r="T12" s="3" t="n">
        <v>46298</v>
      </c>
      <c r="U12" s="3" t="n">
        <v>46311</v>
      </c>
      <c r="V12" s="2" t="n">
        <v>2</v>
      </c>
      <c r="W12" s="2" t="inlineStr">
        <is>
          <t>High</t>
        </is>
      </c>
      <c r="X12" s="2" t="inlineStr">
        <is>
          <t>Analysis</t>
        </is>
      </c>
      <c r="Y12" s="2" t="inlineStr">
        <is>
          <t>CIN-T-001</t>
        </is>
      </c>
      <c r="Z12" s="2" t="inlineStr">
        <is>
          <t>Hoàn tất kết quả gốc: created, pending, unknown, succeeded, failed, cancelled, refund.</t>
        </is>
      </c>
      <c r="AA12" s="2" t="inlineStr">
        <is>
          <t>Kết quả gốc được kiểm tra và có bằng chứng gắn với CIN-SUB-011; ngoại lệ được ghi rõ.</t>
        </is>
      </c>
      <c r="AB12" s="2" t="inlineStr">
        <is>
          <t>Planned</t>
        </is>
      </c>
      <c r="AC12" s="2" t="inlineStr">
        <is>
          <t>Planned only; no completion evidence was transferred.</t>
        </is>
      </c>
    </row>
    <row r="13">
      <c r="A13" s="2" t="inlineStr">
        <is>
          <t>ORIG-012</t>
        </is>
      </c>
      <c r="B13" s="2" t="n">
        <v>13</v>
      </c>
      <c r="C13" s="2" t="inlineStr">
        <is>
          <t>Phân tích nghiệp vụ &amp; thiết kế hệ thống</t>
        </is>
      </c>
      <c r="D13" s="2" t="n"/>
      <c r="E13" s="2" t="inlineStr">
        <is>
          <t>Xác định chức năng hệ thống</t>
        </is>
      </c>
      <c r="F13" s="2" t="inlineStr">
        <is>
          <t>Functional Requirements</t>
        </is>
      </c>
      <c r="G13" s="2" t="inlineStr">
        <is>
          <t>Bắt buộc</t>
        </is>
      </c>
      <c r="H13" s="2" t="inlineStr">
        <is>
          <t>Sprint 1</t>
        </is>
      </c>
      <c r="I13" s="2" t="inlineStr">
        <is>
          <t>Chốt phạm vi, actor, yêu cầu và luồng nghiệp vụ.</t>
        </is>
      </c>
      <c r="J13" s="2" t="inlineStr">
        <is>
          <t>PH-01</t>
        </is>
      </c>
      <c r="K13" s="2" t="inlineStr">
        <is>
          <t>Discovery &amp; PA1</t>
        </is>
      </c>
      <c r="L13" s="2" t="inlineStr">
        <is>
          <t>CIN-T-003</t>
        </is>
      </c>
      <c r="M13" s="2" t="inlineStr">
        <is>
          <t>Baseline yêu cầu, use case và kiến trúc sơ bộ</t>
        </is>
      </c>
      <c r="N13" s="2" t="inlineStr">
        <is>
          <t>24120255</t>
        </is>
      </c>
      <c r="O13" s="2" t="inlineStr">
        <is>
          <t>Tran Thien An</t>
        </is>
      </c>
      <c r="P13" s="2" t="inlineStr">
        <is>
          <t>CIN-SUB-012</t>
        </is>
      </c>
      <c r="Q13" s="2" t="inlineStr">
        <is>
          <t>Sprint 1</t>
        </is>
      </c>
      <c r="R13" s="2" t="inlineStr">
        <is>
          <t>24120255</t>
        </is>
      </c>
      <c r="S13" s="2" t="inlineStr">
        <is>
          <t>Tran Thien An</t>
        </is>
      </c>
      <c r="T13" s="3" t="n">
        <v>46298</v>
      </c>
      <c r="U13" s="3" t="n">
        <v>46311</v>
      </c>
      <c r="V13" s="2" t="n">
        <v>2</v>
      </c>
      <c r="W13" s="2" t="inlineStr">
        <is>
          <t>High</t>
        </is>
      </c>
      <c r="X13" s="2" t="inlineStr">
        <is>
          <t>Analysis / Design</t>
        </is>
      </c>
      <c r="Y13" s="2" t="inlineStr">
        <is>
          <t>CIN-T-002</t>
        </is>
      </c>
      <c r="Z13" s="2" t="inlineStr">
        <is>
          <t>Hoàn tất kết quả gốc: Functional Requirements.</t>
        </is>
      </c>
      <c r="AA13" s="2" t="inlineStr">
        <is>
          <t>Kết quả gốc được kiểm tra và có bằng chứng gắn với CIN-SUB-012; ngoại lệ được ghi rõ.</t>
        </is>
      </c>
      <c r="AB13" s="2" t="inlineStr">
        <is>
          <t>Planned</t>
        </is>
      </c>
      <c r="AC13" s="2" t="inlineStr">
        <is>
          <t>Planned only; no completion evidence was transferred.</t>
        </is>
      </c>
    </row>
    <row r="14">
      <c r="A14" s="2" t="inlineStr">
        <is>
          <t>ORIG-013</t>
        </is>
      </c>
      <c r="B14" s="2" t="n">
        <v>14</v>
      </c>
      <c r="C14" s="2" t="inlineStr">
        <is>
          <t>Phân tích nghiệp vụ &amp; thiết kế hệ thống</t>
        </is>
      </c>
      <c r="D14" s="2" t="n"/>
      <c r="E14" s="2" t="inlineStr">
        <is>
          <t>Xác định yêu cầu phi chức năng</t>
        </is>
      </c>
      <c r="F14" s="2" t="inlineStr">
        <is>
          <t>Security, Performance, Availability, Usability,...</t>
        </is>
      </c>
      <c r="G14" s="2" t="inlineStr">
        <is>
          <t>Bắt buộc</t>
        </is>
      </c>
      <c r="H14" s="2" t="inlineStr">
        <is>
          <t>Sprint 1</t>
        </is>
      </c>
      <c r="I14" s="2" t="inlineStr">
        <is>
          <t>Chốt phạm vi, actor, yêu cầu và luồng nghiệp vụ.</t>
        </is>
      </c>
      <c r="J14" s="2" t="inlineStr">
        <is>
          <t>PH-01</t>
        </is>
      </c>
      <c r="K14" s="2" t="inlineStr">
        <is>
          <t>Discovery &amp; PA1</t>
        </is>
      </c>
      <c r="L14" s="2" t="inlineStr">
        <is>
          <t>CIN-T-003</t>
        </is>
      </c>
      <c r="M14" s="2" t="inlineStr">
        <is>
          <t>Baseline yêu cầu, use case và kiến trúc sơ bộ</t>
        </is>
      </c>
      <c r="N14" s="2" t="inlineStr">
        <is>
          <t>24120255</t>
        </is>
      </c>
      <c r="O14" s="2" t="inlineStr">
        <is>
          <t>Tran Thien An</t>
        </is>
      </c>
      <c r="P14" s="2" t="inlineStr">
        <is>
          <t>CIN-SUB-013</t>
        </is>
      </c>
      <c r="Q14" s="2" t="inlineStr">
        <is>
          <t>Sprint 1</t>
        </is>
      </c>
      <c r="R14" s="2" t="inlineStr">
        <is>
          <t>24120235</t>
        </is>
      </c>
      <c r="S14" s="2" t="inlineStr">
        <is>
          <t>Huynh Thanh Tu</t>
        </is>
      </c>
      <c r="T14" s="3" t="n">
        <v>46298</v>
      </c>
      <c r="U14" s="3" t="n">
        <v>46311</v>
      </c>
      <c r="V14" s="2" t="n">
        <v>3</v>
      </c>
      <c r="W14" s="2" t="inlineStr">
        <is>
          <t>High</t>
        </is>
      </c>
      <c r="X14" s="2" t="inlineStr">
        <is>
          <t>Analysis / Design</t>
        </is>
      </c>
      <c r="Y14" s="2" t="inlineStr">
        <is>
          <t>CIN-T-002</t>
        </is>
      </c>
      <c r="Z14" s="2" t="inlineStr">
        <is>
          <t>Hoàn tất kết quả gốc: Security, Performance, Availability, Usability,....</t>
        </is>
      </c>
      <c r="AA14" s="2" t="inlineStr">
        <is>
          <t>Kết quả gốc được kiểm tra và có bằng chứng gắn với CIN-SUB-013; ngoại lệ được ghi rõ.</t>
        </is>
      </c>
      <c r="AB14" s="2" t="inlineStr">
        <is>
          <t>Planned</t>
        </is>
      </c>
      <c r="AC14" s="2" t="inlineStr">
        <is>
          <t>Planned only; no completion evidence was transferred.</t>
        </is>
      </c>
    </row>
    <row r="15">
      <c r="A15" s="2" t="inlineStr">
        <is>
          <t>ORIG-014</t>
        </is>
      </c>
      <c r="B15" s="2" t="n">
        <v>15</v>
      </c>
      <c r="C15" s="2" t="inlineStr">
        <is>
          <t>Phân tích nghiệp vụ &amp; thiết kế hệ thống</t>
        </is>
      </c>
      <c r="D15" s="2" t="n"/>
      <c r="E15" s="2" t="inlineStr">
        <is>
          <t>Xây dựng Use Case</t>
        </is>
      </c>
      <c r="F15" s="2" t="inlineStr">
        <is>
          <t>Hoàn thiện Use Case Diagram</t>
        </is>
      </c>
      <c r="G15" s="2" t="inlineStr">
        <is>
          <t>Bắt buộc</t>
        </is>
      </c>
      <c r="H15" s="2" t="inlineStr">
        <is>
          <t>Sprint 1</t>
        </is>
      </c>
      <c r="I15" s="2" t="inlineStr">
        <is>
          <t>Chốt phạm vi, actor, yêu cầu và luồng nghiệp vụ.</t>
        </is>
      </c>
      <c r="J15" s="2" t="inlineStr">
        <is>
          <t>PH-01</t>
        </is>
      </c>
      <c r="K15" s="2" t="inlineStr">
        <is>
          <t>Discovery &amp; PA1</t>
        </is>
      </c>
      <c r="L15" s="2" t="inlineStr">
        <is>
          <t>CIN-T-003</t>
        </is>
      </c>
      <c r="M15" s="2" t="inlineStr">
        <is>
          <t>Baseline yêu cầu, use case và kiến trúc sơ bộ</t>
        </is>
      </c>
      <c r="N15" s="2" t="inlineStr">
        <is>
          <t>24120255</t>
        </is>
      </c>
      <c r="O15" s="2" t="inlineStr">
        <is>
          <t>Tran Thien An</t>
        </is>
      </c>
      <c r="P15" s="2" t="inlineStr">
        <is>
          <t>CIN-SUB-014</t>
        </is>
      </c>
      <c r="Q15" s="2" t="inlineStr">
        <is>
          <t>Sprint 1</t>
        </is>
      </c>
      <c r="R15" s="2" t="inlineStr">
        <is>
          <t>24120098</t>
        </is>
      </c>
      <c r="S15" s="2" t="inlineStr">
        <is>
          <t>Nguyen Quoc Nam</t>
        </is>
      </c>
      <c r="T15" s="3" t="n">
        <v>46298</v>
      </c>
      <c r="U15" s="3" t="n">
        <v>46311</v>
      </c>
      <c r="V15" s="2" t="n">
        <v>2</v>
      </c>
      <c r="W15" s="2" t="inlineStr">
        <is>
          <t>High</t>
        </is>
      </c>
      <c r="X15" s="2" t="inlineStr">
        <is>
          <t>Analysis / Design</t>
        </is>
      </c>
      <c r="Y15" s="2" t="inlineStr">
        <is>
          <t>CIN-T-002</t>
        </is>
      </c>
      <c r="Z15" s="2" t="inlineStr">
        <is>
          <t>Hoàn tất kết quả gốc: Hoàn thiện Use Case Diagram.</t>
        </is>
      </c>
      <c r="AA15" s="2" t="inlineStr">
        <is>
          <t>Kết quả gốc được kiểm tra và có bằng chứng gắn với CIN-SUB-014; ngoại lệ được ghi rõ.</t>
        </is>
      </c>
      <c r="AB15" s="2" t="inlineStr">
        <is>
          <t>Planned</t>
        </is>
      </c>
      <c r="AC15" s="2" t="inlineStr">
        <is>
          <t>Planned only; no completion evidence was transferred.</t>
        </is>
      </c>
    </row>
    <row r="16">
      <c r="A16" s="2" t="inlineStr">
        <is>
          <t>ORIG-015</t>
        </is>
      </c>
      <c r="B16" s="2" t="n">
        <v>16</v>
      </c>
      <c r="C16" s="2" t="inlineStr">
        <is>
          <t>Phân tích nghiệp vụ &amp; thiết kế hệ thống</t>
        </is>
      </c>
      <c r="D16" s="2" t="n"/>
      <c r="E16" s="2" t="inlineStr">
        <is>
          <t>Xây dựng Activity Diagram</t>
        </is>
      </c>
      <c r="F16" s="2" t="inlineStr">
        <is>
          <t>Các luồng nghiệp vụ chính</t>
        </is>
      </c>
      <c r="G16" s="2" t="inlineStr">
        <is>
          <t>Bắt buộc</t>
        </is>
      </c>
      <c r="H16" s="2" t="inlineStr">
        <is>
          <t>Sprint 1</t>
        </is>
      </c>
      <c r="I16" s="2" t="inlineStr">
        <is>
          <t>Chốt phạm vi, actor, yêu cầu và luồng nghiệp vụ.</t>
        </is>
      </c>
      <c r="J16" s="2" t="inlineStr">
        <is>
          <t>PH-01</t>
        </is>
      </c>
      <c r="K16" s="2" t="inlineStr">
        <is>
          <t>Discovery &amp; PA1</t>
        </is>
      </c>
      <c r="L16" s="2" t="inlineStr">
        <is>
          <t>CIN-T-003</t>
        </is>
      </c>
      <c r="M16" s="2" t="inlineStr">
        <is>
          <t>Baseline yêu cầu, use case và kiến trúc sơ bộ</t>
        </is>
      </c>
      <c r="N16" s="2" t="inlineStr">
        <is>
          <t>24120255</t>
        </is>
      </c>
      <c r="O16" s="2" t="inlineStr">
        <is>
          <t>Tran Thien An</t>
        </is>
      </c>
      <c r="P16" s="2" t="inlineStr">
        <is>
          <t>CIN-SUB-015</t>
        </is>
      </c>
      <c r="Q16" s="2" t="inlineStr">
        <is>
          <t>Sprint 1</t>
        </is>
      </c>
      <c r="R16" s="2" t="inlineStr">
        <is>
          <t>24120244</t>
        </is>
      </c>
      <c r="S16" s="2" t="inlineStr">
        <is>
          <t>Phan Van Viet</t>
        </is>
      </c>
      <c r="T16" s="3" t="n">
        <v>46298</v>
      </c>
      <c r="U16" s="3" t="n">
        <v>46311</v>
      </c>
      <c r="V16" s="2" t="n">
        <v>2</v>
      </c>
      <c r="W16" s="2" t="inlineStr">
        <is>
          <t>High</t>
        </is>
      </c>
      <c r="X16" s="2" t="inlineStr">
        <is>
          <t>Analysis / Design</t>
        </is>
      </c>
      <c r="Y16" s="2" t="inlineStr">
        <is>
          <t>CIN-T-002</t>
        </is>
      </c>
      <c r="Z16" s="2" t="inlineStr">
        <is>
          <t>Hoàn tất kết quả gốc: Các luồng nghiệp vụ chính.</t>
        </is>
      </c>
      <c r="AA16" s="2" t="inlineStr">
        <is>
          <t>Kết quả gốc được kiểm tra và có bằng chứng gắn với CIN-SUB-015; ngoại lệ được ghi rõ.</t>
        </is>
      </c>
      <c r="AB16" s="2" t="inlineStr">
        <is>
          <t>Planned</t>
        </is>
      </c>
      <c r="AC16" s="2" t="inlineStr">
        <is>
          <t>Planned only; no completion evidence was transferred.</t>
        </is>
      </c>
    </row>
    <row r="17">
      <c r="A17" s="2" t="inlineStr">
        <is>
          <t>ORIG-016</t>
        </is>
      </c>
      <c r="B17" s="2" t="n">
        <v>17</v>
      </c>
      <c r="C17" s="2" t="inlineStr">
        <is>
          <t>Phân tích nghiệp vụ &amp; thiết kế hệ thống</t>
        </is>
      </c>
      <c r="D17" s="2" t="n"/>
      <c r="E17" s="2" t="inlineStr">
        <is>
          <t>Xây dựng Sequence Diagram</t>
        </is>
      </c>
      <c r="F17" s="2" t="inlineStr">
        <is>
          <t>Booking, Payment, Authentication,...</t>
        </is>
      </c>
      <c r="G17" s="2" t="inlineStr">
        <is>
          <t>Bắt buộc</t>
        </is>
      </c>
      <c r="H17" s="2" t="inlineStr">
        <is>
          <t>Sprint 1</t>
        </is>
      </c>
      <c r="I17" s="2" t="inlineStr">
        <is>
          <t>Chốt phạm vi, actor, yêu cầu và luồng nghiệp vụ.</t>
        </is>
      </c>
      <c r="J17" s="2" t="inlineStr">
        <is>
          <t>PH-01</t>
        </is>
      </c>
      <c r="K17" s="2" t="inlineStr">
        <is>
          <t>Discovery &amp; PA1</t>
        </is>
      </c>
      <c r="L17" s="2" t="inlineStr">
        <is>
          <t>CIN-T-003</t>
        </is>
      </c>
      <c r="M17" s="2" t="inlineStr">
        <is>
          <t>Baseline yêu cầu, use case và kiến trúc sơ bộ</t>
        </is>
      </c>
      <c r="N17" s="2" t="inlineStr">
        <is>
          <t>24120255</t>
        </is>
      </c>
      <c r="O17" s="2" t="inlineStr">
        <is>
          <t>Tran Thien An</t>
        </is>
      </c>
      <c r="P17" s="2" t="inlineStr">
        <is>
          <t>CIN-SUB-016</t>
        </is>
      </c>
      <c r="Q17" s="2" t="inlineStr">
        <is>
          <t>Sprint 1</t>
        </is>
      </c>
      <c r="R17" s="2" t="inlineStr">
        <is>
          <t>24120271</t>
        </is>
      </c>
      <c r="S17" s="2" t="inlineStr">
        <is>
          <t>Nguyen Trung Chinh</t>
        </is>
      </c>
      <c r="T17" s="3" t="n">
        <v>46298</v>
      </c>
      <c r="U17" s="3" t="n">
        <v>46311</v>
      </c>
      <c r="V17" s="2" t="n">
        <v>3</v>
      </c>
      <c r="W17" s="2" t="inlineStr">
        <is>
          <t>High</t>
        </is>
      </c>
      <c r="X17" s="2" t="inlineStr">
        <is>
          <t>Analysis / Design</t>
        </is>
      </c>
      <c r="Y17" s="2" t="inlineStr">
        <is>
          <t>CIN-T-002</t>
        </is>
      </c>
      <c r="Z17" s="2" t="inlineStr">
        <is>
          <t>Hoàn tất kết quả gốc: Booking, Payment, Authentication,....</t>
        </is>
      </c>
      <c r="AA17" s="2" t="inlineStr">
        <is>
          <t>Kết quả gốc được kiểm tra và có bằng chứng gắn với CIN-SUB-016; ngoại lệ được ghi rõ.</t>
        </is>
      </c>
      <c r="AB17" s="2" t="inlineStr">
        <is>
          <t>Planned</t>
        </is>
      </c>
      <c r="AC17" s="2" t="inlineStr">
        <is>
          <t>Planned only; no completion evidence was transferred.</t>
        </is>
      </c>
    </row>
    <row r="18">
      <c r="A18" s="2" t="inlineStr">
        <is>
          <t>ORIG-017</t>
        </is>
      </c>
      <c r="B18" s="2" t="n">
        <v>18</v>
      </c>
      <c r="C18" s="2" t="inlineStr">
        <is>
          <t>Phân tích nghiệp vụ &amp; thiết kế hệ thống</t>
        </is>
      </c>
      <c r="D18" s="2" t="n"/>
      <c r="E18" s="2" t="inlineStr">
        <is>
          <t>Thiết kế kiến trúc hệ thống</t>
        </is>
      </c>
      <c r="F18" s="2" t="inlineStr">
        <is>
          <t>Frontend → ASP.NET Core API → Business Logic → EF Core → PostgreSQL</t>
        </is>
      </c>
      <c r="G18" s="2" t="inlineStr">
        <is>
          <t>Bắt buộc</t>
        </is>
      </c>
      <c r="H18" s="2" t="inlineStr">
        <is>
          <t>Sprint 1</t>
        </is>
      </c>
      <c r="I18" s="2" t="inlineStr">
        <is>
          <t>Chốt phạm vi, actor, yêu cầu và luồng nghiệp vụ.</t>
        </is>
      </c>
      <c r="J18" s="2" t="inlineStr">
        <is>
          <t>PH-01</t>
        </is>
      </c>
      <c r="K18" s="2" t="inlineStr">
        <is>
          <t>Discovery &amp; PA1</t>
        </is>
      </c>
      <c r="L18" s="2" t="inlineStr">
        <is>
          <t>CIN-T-003</t>
        </is>
      </c>
      <c r="M18" s="2" t="inlineStr">
        <is>
          <t>Baseline yêu cầu, use case và kiến trúc sơ bộ</t>
        </is>
      </c>
      <c r="N18" s="2" t="inlineStr">
        <is>
          <t>24120255</t>
        </is>
      </c>
      <c r="O18" s="2" t="inlineStr">
        <is>
          <t>Tran Thien An</t>
        </is>
      </c>
      <c r="P18" s="2" t="inlineStr">
        <is>
          <t>CIN-SUB-017</t>
        </is>
      </c>
      <c r="Q18" s="2" t="inlineStr">
        <is>
          <t>Sprint 1</t>
        </is>
      </c>
      <c r="R18" s="2" t="inlineStr">
        <is>
          <t>24120255</t>
        </is>
      </c>
      <c r="S18" s="2" t="inlineStr">
        <is>
          <t>Tran Thien An</t>
        </is>
      </c>
      <c r="T18" s="3" t="n">
        <v>46298</v>
      </c>
      <c r="U18" s="3" t="n">
        <v>46311</v>
      </c>
      <c r="V18" s="2" t="n">
        <v>3</v>
      </c>
      <c r="W18" s="2" t="inlineStr">
        <is>
          <t>High</t>
        </is>
      </c>
      <c r="X18" s="2" t="inlineStr">
        <is>
          <t>Analysis / Design</t>
        </is>
      </c>
      <c r="Y18" s="2" t="inlineStr">
        <is>
          <t>CIN-T-002</t>
        </is>
      </c>
      <c r="Z18" s="2" t="inlineStr">
        <is>
          <t>Hoàn tất kết quả gốc: Frontend → ASP.NET Core API → Business Logic → EF Core → PostgreSQL.</t>
        </is>
      </c>
      <c r="AA18" s="2" t="inlineStr">
        <is>
          <t>Kết quả gốc được kiểm tra và có bằng chứng gắn với CIN-SUB-017; ngoại lệ được ghi rõ.</t>
        </is>
      </c>
      <c r="AB18" s="2" t="inlineStr">
        <is>
          <t>Planned</t>
        </is>
      </c>
      <c r="AC18" s="2" t="inlineStr">
        <is>
          <t>Planned only; no completion evidence was transferred.</t>
        </is>
      </c>
    </row>
    <row r="19">
      <c r="A19" s="2" t="inlineStr">
        <is>
          <t>ORIG-018</t>
        </is>
      </c>
      <c r="B19" s="2" t="n">
        <v>19</v>
      </c>
      <c r="C19" s="2" t="inlineStr">
        <is>
          <t>Thiết kế Database</t>
        </is>
      </c>
      <c r="D19" s="2" t="inlineStr">
        <is>
          <t>Chốt dữ liệu và quan hệ</t>
        </is>
      </c>
      <c r="E19" s="2" t="inlineStr">
        <is>
          <t>Thiết kế bảng</t>
        </is>
      </c>
      <c r="F19" s="2" t="inlineStr">
        <is>
          <t>Tổng hợp cấu trúc của toàn bộ bảng</t>
        </is>
      </c>
      <c r="G19" s="2" t="inlineStr">
        <is>
          <t>Bắt buộc</t>
        </is>
      </c>
      <c r="H19" s="2" t="inlineStr">
        <is>
          <t>Sprint 2</t>
        </is>
      </c>
      <c r="I19" s="2" t="inlineStr">
        <is>
          <t>Nền tảng dữ liệu cho các nghiệp vụ cốt lõi.</t>
        </is>
      </c>
      <c r="J19" s="2" t="inlineStr">
        <is>
          <t>PH-02</t>
        </is>
      </c>
      <c r="K19" s="2" t="inlineStr">
        <is>
          <t>Solution Design &amp; Foundations</t>
        </is>
      </c>
      <c r="L19" s="2" t="inlineStr">
        <is>
          <t>CIN-T-004</t>
        </is>
      </c>
      <c r="M19" s="2" t="inlineStr">
        <is>
          <t>Thiết kế dữ liệu phim, phòng, ghế và suất chiếu</t>
        </is>
      </c>
      <c r="N19" s="2" t="inlineStr">
        <is>
          <t>24120235</t>
        </is>
      </c>
      <c r="O19" s="2" t="inlineStr">
        <is>
          <t>Huynh Thanh Tu</t>
        </is>
      </c>
      <c r="P19" s="2" t="inlineStr">
        <is>
          <t>CIN-SUB-018</t>
        </is>
      </c>
      <c r="Q19" s="2" t="inlineStr">
        <is>
          <t>Sprint 2</t>
        </is>
      </c>
      <c r="R19" s="2" t="inlineStr">
        <is>
          <t>24120098</t>
        </is>
      </c>
      <c r="S19" s="2" t="inlineStr">
        <is>
          <t>Nguyen Quoc Nam</t>
        </is>
      </c>
      <c r="T19" s="3" t="n">
        <v>46312</v>
      </c>
      <c r="U19" s="3" t="n">
        <v>46325</v>
      </c>
      <c r="V19" s="2" t="n">
        <v>2</v>
      </c>
      <c r="W19" s="2" t="inlineStr">
        <is>
          <t>High</t>
        </is>
      </c>
      <c r="X19" s="2" t="inlineStr">
        <is>
          <t>Database Design</t>
        </is>
      </c>
      <c r="Y19" s="2" t="inlineStr">
        <is>
          <t>CIN-T-003</t>
        </is>
      </c>
      <c r="Z19" s="2" t="inlineStr">
        <is>
          <t>Hoàn tất kết quả gốc: Tổng hợp cấu trúc của toàn bộ bảng.</t>
        </is>
      </c>
      <c r="AA19" s="2" t="inlineStr">
        <is>
          <t>Kết quả gốc được kiểm tra và có bằng chứng gắn với CIN-SUB-018; ngoại lệ được ghi rõ.</t>
        </is>
      </c>
      <c r="AB19" s="2" t="inlineStr">
        <is>
          <t>Planned</t>
        </is>
      </c>
      <c r="AC19" s="2" t="inlineStr">
        <is>
          <t>Planned only; no completion evidence was transferred.</t>
        </is>
      </c>
    </row>
    <row r="20">
      <c r="A20" s="2" t="inlineStr">
        <is>
          <t>ORIG-019</t>
        </is>
      </c>
      <c r="B20" s="2" t="n">
        <v>20</v>
      </c>
      <c r="C20" s="2" t="inlineStr">
        <is>
          <t>Thiết kế Database</t>
        </is>
      </c>
      <c r="D20" s="2" t="n"/>
      <c r="E20" s="2" t="inlineStr">
        <is>
          <t>Thiết kế bảng Movie</t>
        </is>
      </c>
      <c r="F20" s="2" t="inlineStr">
        <is>
          <t>Tên phim, mô tả, thời lượng, ngày phát hành, trạng thái,...</t>
        </is>
      </c>
      <c r="G20" s="2" t="inlineStr">
        <is>
          <t>Bắt buộc</t>
        </is>
      </c>
      <c r="H20" s="2" t="inlineStr">
        <is>
          <t>Sprint 2</t>
        </is>
      </c>
      <c r="I20" s="2" t="inlineStr">
        <is>
          <t>Nền tảng dữ liệu cho các nghiệp vụ cốt lõi.</t>
        </is>
      </c>
      <c r="J20" s="2" t="inlineStr">
        <is>
          <t>PH-02</t>
        </is>
      </c>
      <c r="K20" s="2" t="inlineStr">
        <is>
          <t>Solution Design &amp; Foundations</t>
        </is>
      </c>
      <c r="L20" s="2" t="inlineStr">
        <is>
          <t>CIN-T-004</t>
        </is>
      </c>
      <c r="M20" s="2" t="inlineStr">
        <is>
          <t>Thiết kế dữ liệu phim, phòng, ghế và suất chiếu</t>
        </is>
      </c>
      <c r="N20" s="2" t="inlineStr">
        <is>
          <t>24120235</t>
        </is>
      </c>
      <c r="O20" s="2" t="inlineStr">
        <is>
          <t>Huynh Thanh Tu</t>
        </is>
      </c>
      <c r="P20" s="2" t="inlineStr">
        <is>
          <t>CIN-SUB-019</t>
        </is>
      </c>
      <c r="Q20" s="2" t="inlineStr">
        <is>
          <t>Sprint 2</t>
        </is>
      </c>
      <c r="R20" s="2" t="inlineStr">
        <is>
          <t>24120244</t>
        </is>
      </c>
      <c r="S20" s="2" t="inlineStr">
        <is>
          <t>Phan Van Viet</t>
        </is>
      </c>
      <c r="T20" s="3" t="n">
        <v>46312</v>
      </c>
      <c r="U20" s="3" t="n">
        <v>46325</v>
      </c>
      <c r="V20" s="2" t="n">
        <v>2</v>
      </c>
      <c r="W20" s="2" t="inlineStr">
        <is>
          <t>High</t>
        </is>
      </c>
      <c r="X20" s="2" t="inlineStr">
        <is>
          <t>Database Design</t>
        </is>
      </c>
      <c r="Y20" s="2" t="inlineStr">
        <is>
          <t>CIN-T-003</t>
        </is>
      </c>
      <c r="Z20" s="2" t="inlineStr">
        <is>
          <t>Hoàn tất kết quả gốc: Tên phim, mô tả, thời lượng, ngày phát hành, trạng thái,....</t>
        </is>
      </c>
      <c r="AA20" s="2" t="inlineStr">
        <is>
          <t>Kết quả gốc được kiểm tra và có bằng chứng gắn với CIN-SUB-019; ngoại lệ được ghi rõ.</t>
        </is>
      </c>
      <c r="AB20" s="2" t="inlineStr">
        <is>
          <t>Planned</t>
        </is>
      </c>
      <c r="AC20" s="2" t="inlineStr">
        <is>
          <t>Planned only; no completion evidence was transferred.</t>
        </is>
      </c>
    </row>
    <row r="21">
      <c r="A21" s="2" t="inlineStr">
        <is>
          <t>ORIG-020</t>
        </is>
      </c>
      <c r="B21" s="2" t="n">
        <v>21</v>
      </c>
      <c r="C21" s="2" t="inlineStr">
        <is>
          <t>Thiết kế Database</t>
        </is>
      </c>
      <c r="D21" s="2" t="n"/>
      <c r="E21" s="2" t="inlineStr">
        <is>
          <t>Thiết kế bảng Genre</t>
        </is>
      </c>
      <c r="F21" s="2" t="inlineStr">
        <is>
          <t>Thể loại phim</t>
        </is>
      </c>
      <c r="G21" s="2" t="inlineStr">
        <is>
          <t>Bắt buộc</t>
        </is>
      </c>
      <c r="H21" s="2" t="inlineStr">
        <is>
          <t>Sprint 2</t>
        </is>
      </c>
      <c r="I21" s="2" t="inlineStr">
        <is>
          <t>Nền tảng dữ liệu cho các nghiệp vụ cốt lõi.</t>
        </is>
      </c>
      <c r="J21" s="2" t="inlineStr">
        <is>
          <t>PH-02</t>
        </is>
      </c>
      <c r="K21" s="2" t="inlineStr">
        <is>
          <t>Solution Design &amp; Foundations</t>
        </is>
      </c>
      <c r="L21" s="2" t="inlineStr">
        <is>
          <t>CIN-T-004</t>
        </is>
      </c>
      <c r="M21" s="2" t="inlineStr">
        <is>
          <t>Thiết kế dữ liệu phim, phòng, ghế và suất chiếu</t>
        </is>
      </c>
      <c r="N21" s="2" t="inlineStr">
        <is>
          <t>24120235</t>
        </is>
      </c>
      <c r="O21" s="2" t="inlineStr">
        <is>
          <t>Huynh Thanh Tu</t>
        </is>
      </c>
      <c r="P21" s="2" t="inlineStr">
        <is>
          <t>CIN-SUB-020</t>
        </is>
      </c>
      <c r="Q21" s="2" t="inlineStr">
        <is>
          <t>Sprint 2</t>
        </is>
      </c>
      <c r="R21" s="2" t="inlineStr">
        <is>
          <t>24120235</t>
        </is>
      </c>
      <c r="S21" s="2" t="inlineStr">
        <is>
          <t>Huynh Thanh Tu</t>
        </is>
      </c>
      <c r="T21" s="3" t="n">
        <v>46312</v>
      </c>
      <c r="U21" s="3" t="n">
        <v>46325</v>
      </c>
      <c r="V21" s="2" t="n">
        <v>2</v>
      </c>
      <c r="W21" s="2" t="inlineStr">
        <is>
          <t>High</t>
        </is>
      </c>
      <c r="X21" s="2" t="inlineStr">
        <is>
          <t>Database Design</t>
        </is>
      </c>
      <c r="Y21" s="2" t="inlineStr">
        <is>
          <t>CIN-T-003</t>
        </is>
      </c>
      <c r="Z21" s="2" t="inlineStr">
        <is>
          <t>Hoàn tất kết quả gốc: Thể loại phim.</t>
        </is>
      </c>
      <c r="AA21" s="2" t="inlineStr">
        <is>
          <t>Kết quả gốc được kiểm tra và có bằng chứng gắn với CIN-SUB-020; ngoại lệ được ghi rõ.</t>
        </is>
      </c>
      <c r="AB21" s="2" t="inlineStr">
        <is>
          <t>Planned</t>
        </is>
      </c>
      <c r="AC21" s="2" t="inlineStr">
        <is>
          <t>Planned only; no completion evidence was transferred.</t>
        </is>
      </c>
    </row>
    <row r="22">
      <c r="A22" s="2" t="inlineStr">
        <is>
          <t>ORIG-021</t>
        </is>
      </c>
      <c r="B22" s="2" t="n">
        <v>22</v>
      </c>
      <c r="C22" s="2" t="inlineStr">
        <is>
          <t>Thiết kế Database</t>
        </is>
      </c>
      <c r="D22" s="2" t="n"/>
      <c r="E22" s="2" t="inlineStr">
        <is>
          <t>Thiết kế bảng MovieGenre</t>
        </is>
      </c>
      <c r="F22" s="2" t="inlineStr">
        <is>
          <t>Quan hệ Movie – Genre nếu sử dụng N-N</t>
        </is>
      </c>
      <c r="G22" s="2" t="inlineStr">
        <is>
          <t>Bắt buộc</t>
        </is>
      </c>
      <c r="H22" s="2" t="inlineStr">
        <is>
          <t>Sprint 2</t>
        </is>
      </c>
      <c r="I22" s="2" t="inlineStr">
        <is>
          <t>Nền tảng dữ liệu cho các nghiệp vụ cốt lõi.</t>
        </is>
      </c>
      <c r="J22" s="2" t="inlineStr">
        <is>
          <t>PH-02</t>
        </is>
      </c>
      <c r="K22" s="2" t="inlineStr">
        <is>
          <t>Solution Design &amp; Foundations</t>
        </is>
      </c>
      <c r="L22" s="2" t="inlineStr">
        <is>
          <t>CIN-T-004</t>
        </is>
      </c>
      <c r="M22" s="2" t="inlineStr">
        <is>
          <t>Thiết kế dữ liệu phim, phòng, ghế và suất chiếu</t>
        </is>
      </c>
      <c r="N22" s="2" t="inlineStr">
        <is>
          <t>24120235</t>
        </is>
      </c>
      <c r="O22" s="2" t="inlineStr">
        <is>
          <t>Huynh Thanh Tu</t>
        </is>
      </c>
      <c r="P22" s="2" t="inlineStr">
        <is>
          <t>CIN-SUB-021</t>
        </is>
      </c>
      <c r="Q22" s="2" t="inlineStr">
        <is>
          <t>Sprint 2</t>
        </is>
      </c>
      <c r="R22" s="2" t="inlineStr">
        <is>
          <t>24120255</t>
        </is>
      </c>
      <c r="S22" s="2" t="inlineStr">
        <is>
          <t>Tran Thien An</t>
        </is>
      </c>
      <c r="T22" s="3" t="n">
        <v>46312</v>
      </c>
      <c r="U22" s="3" t="n">
        <v>46325</v>
      </c>
      <c r="V22" s="2" t="n">
        <v>2</v>
      </c>
      <c r="W22" s="2" t="inlineStr">
        <is>
          <t>High</t>
        </is>
      </c>
      <c r="X22" s="2" t="inlineStr">
        <is>
          <t>Database Design</t>
        </is>
      </c>
      <c r="Y22" s="2" t="inlineStr">
        <is>
          <t>CIN-T-003</t>
        </is>
      </c>
      <c r="Z22" s="2" t="inlineStr">
        <is>
          <t>Hoàn tất kết quả gốc: Quan hệ Movie – Genre nếu sử dụng N-N.</t>
        </is>
      </c>
      <c r="AA22" s="2" t="inlineStr">
        <is>
          <t>Kết quả gốc được kiểm tra và có bằng chứng gắn với CIN-SUB-021; ngoại lệ được ghi rõ.</t>
        </is>
      </c>
      <c r="AB22" s="2" t="inlineStr">
        <is>
          <t>Planned</t>
        </is>
      </c>
      <c r="AC22" s="2" t="inlineStr">
        <is>
          <t>Planned only; no completion evidence was transferred.</t>
        </is>
      </c>
    </row>
    <row r="23">
      <c r="A23" s="2" t="inlineStr">
        <is>
          <t>ORIG-022</t>
        </is>
      </c>
      <c r="B23" s="2" t="n">
        <v>23</v>
      </c>
      <c r="C23" s="2" t="inlineStr">
        <is>
          <t>Thiết kế Database</t>
        </is>
      </c>
      <c r="D23" s="2" t="n"/>
      <c r="E23" s="2" t="inlineStr">
        <is>
          <t>Thiết kế bảng CinemaRoom</t>
        </is>
      </c>
      <c r="F23" s="2" t="inlineStr">
        <is>
          <t>Tên phòng, sức chứa, trạng thái</t>
        </is>
      </c>
      <c r="G23" s="2" t="inlineStr">
        <is>
          <t>Bắt buộc</t>
        </is>
      </c>
      <c r="H23" s="2" t="inlineStr">
        <is>
          <t>Sprint 2</t>
        </is>
      </c>
      <c r="I23" s="2" t="inlineStr">
        <is>
          <t>Nền tảng dữ liệu cho các nghiệp vụ cốt lõi.</t>
        </is>
      </c>
      <c r="J23" s="2" t="inlineStr">
        <is>
          <t>PH-02</t>
        </is>
      </c>
      <c r="K23" s="2" t="inlineStr">
        <is>
          <t>Solution Design &amp; Foundations</t>
        </is>
      </c>
      <c r="L23" s="2" t="inlineStr">
        <is>
          <t>CIN-T-004</t>
        </is>
      </c>
      <c r="M23" s="2" t="inlineStr">
        <is>
          <t>Thiết kế dữ liệu phim, phòng, ghế và suất chiếu</t>
        </is>
      </c>
      <c r="N23" s="2" t="inlineStr">
        <is>
          <t>24120235</t>
        </is>
      </c>
      <c r="O23" s="2" t="inlineStr">
        <is>
          <t>Huynh Thanh Tu</t>
        </is>
      </c>
      <c r="P23" s="2" t="inlineStr">
        <is>
          <t>CIN-SUB-022</t>
        </is>
      </c>
      <c r="Q23" s="2" t="inlineStr">
        <is>
          <t>Sprint 2</t>
        </is>
      </c>
      <c r="R23" s="2" t="inlineStr">
        <is>
          <t>24120271</t>
        </is>
      </c>
      <c r="S23" s="2" t="inlineStr">
        <is>
          <t>Nguyen Trung Chinh</t>
        </is>
      </c>
      <c r="T23" s="3" t="n">
        <v>46312</v>
      </c>
      <c r="U23" s="3" t="n">
        <v>46325</v>
      </c>
      <c r="V23" s="2" t="n">
        <v>2</v>
      </c>
      <c r="W23" s="2" t="inlineStr">
        <is>
          <t>High</t>
        </is>
      </c>
      <c r="X23" s="2" t="inlineStr">
        <is>
          <t>Database Design</t>
        </is>
      </c>
      <c r="Y23" s="2" t="inlineStr">
        <is>
          <t>CIN-T-003</t>
        </is>
      </c>
      <c r="Z23" s="2" t="inlineStr">
        <is>
          <t>Hoàn tất kết quả gốc: Tên phòng, sức chứa, trạng thái.</t>
        </is>
      </c>
      <c r="AA23" s="2" t="inlineStr">
        <is>
          <t>Kết quả gốc được kiểm tra và có bằng chứng gắn với CIN-SUB-022; ngoại lệ được ghi rõ.</t>
        </is>
      </c>
      <c r="AB23" s="2" t="inlineStr">
        <is>
          <t>Planned</t>
        </is>
      </c>
      <c r="AC23" s="2" t="inlineStr">
        <is>
          <t>Planned only; no completion evidence was transferred.</t>
        </is>
      </c>
    </row>
    <row r="24">
      <c r="A24" s="2" t="inlineStr">
        <is>
          <t>ORIG-023</t>
        </is>
      </c>
      <c r="B24" s="2" t="n">
        <v>24</v>
      </c>
      <c r="C24" s="2" t="inlineStr">
        <is>
          <t>Thiết kế Database</t>
        </is>
      </c>
      <c r="D24" s="2" t="n"/>
      <c r="E24" s="2" t="inlineStr">
        <is>
          <t>Thiết kế bảng Seat</t>
        </is>
      </c>
      <c r="F24" s="2" t="inlineStr">
        <is>
          <t>Hàng, số ghế, loại ghế, phòng</t>
        </is>
      </c>
      <c r="G24" s="2" t="inlineStr">
        <is>
          <t>Bắt buộc</t>
        </is>
      </c>
      <c r="H24" s="2" t="inlineStr">
        <is>
          <t>Sprint 2</t>
        </is>
      </c>
      <c r="I24" s="2" t="inlineStr">
        <is>
          <t>Nền tảng dữ liệu cho các nghiệp vụ cốt lõi.</t>
        </is>
      </c>
      <c r="J24" s="2" t="inlineStr">
        <is>
          <t>PH-02</t>
        </is>
      </c>
      <c r="K24" s="2" t="inlineStr">
        <is>
          <t>Solution Design &amp; Foundations</t>
        </is>
      </c>
      <c r="L24" s="2" t="inlineStr">
        <is>
          <t>CIN-T-004</t>
        </is>
      </c>
      <c r="M24" s="2" t="inlineStr">
        <is>
          <t>Thiết kế dữ liệu phim, phòng, ghế và suất chiếu</t>
        </is>
      </c>
      <c r="N24" s="2" t="inlineStr">
        <is>
          <t>24120235</t>
        </is>
      </c>
      <c r="O24" s="2" t="inlineStr">
        <is>
          <t>Huynh Thanh Tu</t>
        </is>
      </c>
      <c r="P24" s="2" t="inlineStr">
        <is>
          <t>CIN-SUB-023</t>
        </is>
      </c>
      <c r="Q24" s="2" t="inlineStr">
        <is>
          <t>Sprint 2</t>
        </is>
      </c>
      <c r="R24" s="2" t="inlineStr">
        <is>
          <t>24120098</t>
        </is>
      </c>
      <c r="S24" s="2" t="inlineStr">
        <is>
          <t>Nguyen Quoc Nam</t>
        </is>
      </c>
      <c r="T24" s="3" t="n">
        <v>46312</v>
      </c>
      <c r="U24" s="3" t="n">
        <v>46325</v>
      </c>
      <c r="V24" s="2" t="n">
        <v>2</v>
      </c>
      <c r="W24" s="2" t="inlineStr">
        <is>
          <t>High</t>
        </is>
      </c>
      <c r="X24" s="2" t="inlineStr">
        <is>
          <t>Database Design</t>
        </is>
      </c>
      <c r="Y24" s="2" t="inlineStr">
        <is>
          <t>CIN-T-003</t>
        </is>
      </c>
      <c r="Z24" s="2" t="inlineStr">
        <is>
          <t>Hoàn tất kết quả gốc: Hàng, số ghế, loại ghế, phòng.</t>
        </is>
      </c>
      <c r="AA24" s="2" t="inlineStr">
        <is>
          <t>Kết quả gốc được kiểm tra và có bằng chứng gắn với CIN-SUB-023; ngoại lệ được ghi rõ.</t>
        </is>
      </c>
      <c r="AB24" s="2" t="inlineStr">
        <is>
          <t>Planned</t>
        </is>
      </c>
      <c r="AC24" s="2" t="inlineStr">
        <is>
          <t>Planned only; no completion evidence was transferred.</t>
        </is>
      </c>
    </row>
    <row r="25">
      <c r="A25" s="2" t="inlineStr">
        <is>
          <t>ORIG-024</t>
        </is>
      </c>
      <c r="B25" s="2" t="n">
        <v>25</v>
      </c>
      <c r="C25" s="2" t="inlineStr">
        <is>
          <t>Thiết kế Database</t>
        </is>
      </c>
      <c r="D25" s="2" t="n"/>
      <c r="E25" s="2" t="inlineStr">
        <is>
          <t>Thiết kế bảng SeatType</t>
        </is>
      </c>
      <c r="F25" s="2" t="inlineStr">
        <is>
          <t>Standard, VIP, Couple,...</t>
        </is>
      </c>
      <c r="G25" s="2" t="inlineStr">
        <is>
          <t>Bắt buộc</t>
        </is>
      </c>
      <c r="H25" s="2" t="inlineStr">
        <is>
          <t>Sprint 2</t>
        </is>
      </c>
      <c r="I25" s="2" t="inlineStr">
        <is>
          <t>Nền tảng dữ liệu cho các nghiệp vụ cốt lõi.</t>
        </is>
      </c>
      <c r="J25" s="2" t="inlineStr">
        <is>
          <t>PH-02</t>
        </is>
      </c>
      <c r="K25" s="2" t="inlineStr">
        <is>
          <t>Solution Design &amp; Foundations</t>
        </is>
      </c>
      <c r="L25" s="2" t="inlineStr">
        <is>
          <t>CIN-T-004</t>
        </is>
      </c>
      <c r="M25" s="2" t="inlineStr">
        <is>
          <t>Thiết kế dữ liệu phim, phòng, ghế và suất chiếu</t>
        </is>
      </c>
      <c r="N25" s="2" t="inlineStr">
        <is>
          <t>24120235</t>
        </is>
      </c>
      <c r="O25" s="2" t="inlineStr">
        <is>
          <t>Huynh Thanh Tu</t>
        </is>
      </c>
      <c r="P25" s="2" t="inlineStr">
        <is>
          <t>CIN-SUB-024</t>
        </is>
      </c>
      <c r="Q25" s="2" t="inlineStr">
        <is>
          <t>Sprint 2</t>
        </is>
      </c>
      <c r="R25" s="2" t="inlineStr">
        <is>
          <t>24120244</t>
        </is>
      </c>
      <c r="S25" s="2" t="inlineStr">
        <is>
          <t>Phan Van Viet</t>
        </is>
      </c>
      <c r="T25" s="3" t="n">
        <v>46312</v>
      </c>
      <c r="U25" s="3" t="n">
        <v>46325</v>
      </c>
      <c r="V25" s="2" t="n">
        <v>2</v>
      </c>
      <c r="W25" s="2" t="inlineStr">
        <is>
          <t>High</t>
        </is>
      </c>
      <c r="X25" s="2" t="inlineStr">
        <is>
          <t>Database Design</t>
        </is>
      </c>
      <c r="Y25" s="2" t="inlineStr">
        <is>
          <t>CIN-T-003</t>
        </is>
      </c>
      <c r="Z25" s="2" t="inlineStr">
        <is>
          <t>Hoàn tất kết quả gốc: Standard, VIP, Couple,....</t>
        </is>
      </c>
      <c r="AA25" s="2" t="inlineStr">
        <is>
          <t>Kết quả gốc được kiểm tra và có bằng chứng gắn với CIN-SUB-024; ngoại lệ được ghi rõ.</t>
        </is>
      </c>
      <c r="AB25" s="2" t="inlineStr">
        <is>
          <t>Planned</t>
        </is>
      </c>
      <c r="AC25" s="2" t="inlineStr">
        <is>
          <t>Planned only; no completion evidence was transferred.</t>
        </is>
      </c>
    </row>
    <row r="26">
      <c r="A26" s="2" t="inlineStr">
        <is>
          <t>ORIG-025</t>
        </is>
      </c>
      <c r="B26" s="2" t="n">
        <v>26</v>
      </c>
      <c r="C26" s="2" t="inlineStr">
        <is>
          <t>Thiết kế Database</t>
        </is>
      </c>
      <c r="D26" s="2" t="n"/>
      <c r="E26" s="2" t="inlineStr">
        <is>
          <t>Thiết kế bảng TicketType</t>
        </is>
      </c>
      <c r="F26" s="2" t="inlineStr">
        <is>
          <t>Adult, Child, Student,...</t>
        </is>
      </c>
      <c r="G26" s="2" t="inlineStr">
        <is>
          <t>Bắt buộc</t>
        </is>
      </c>
      <c r="H26" s="2" t="inlineStr">
        <is>
          <t>Sprint 2</t>
        </is>
      </c>
      <c r="I26" s="2" t="inlineStr">
        <is>
          <t>Nền tảng dữ liệu cho các nghiệp vụ cốt lõi.</t>
        </is>
      </c>
      <c r="J26" s="2" t="inlineStr">
        <is>
          <t>PH-02</t>
        </is>
      </c>
      <c r="K26" s="2" t="inlineStr">
        <is>
          <t>Solution Design &amp; Foundations</t>
        </is>
      </c>
      <c r="L26" s="2" t="inlineStr">
        <is>
          <t>CIN-T-004</t>
        </is>
      </c>
      <c r="M26" s="2" t="inlineStr">
        <is>
          <t>Thiết kế dữ liệu phim, phòng, ghế và suất chiếu</t>
        </is>
      </c>
      <c r="N26" s="2" t="inlineStr">
        <is>
          <t>24120235</t>
        </is>
      </c>
      <c r="O26" s="2" t="inlineStr">
        <is>
          <t>Huynh Thanh Tu</t>
        </is>
      </c>
      <c r="P26" s="2" t="inlineStr">
        <is>
          <t>CIN-SUB-025</t>
        </is>
      </c>
      <c r="Q26" s="2" t="inlineStr">
        <is>
          <t>Sprint 2</t>
        </is>
      </c>
      <c r="R26" s="2" t="inlineStr">
        <is>
          <t>24120235</t>
        </is>
      </c>
      <c r="S26" s="2" t="inlineStr">
        <is>
          <t>Huynh Thanh Tu</t>
        </is>
      </c>
      <c r="T26" s="3" t="n">
        <v>46312</v>
      </c>
      <c r="U26" s="3" t="n">
        <v>46325</v>
      </c>
      <c r="V26" s="2" t="n">
        <v>3</v>
      </c>
      <c r="W26" s="2" t="inlineStr">
        <is>
          <t>High</t>
        </is>
      </c>
      <c r="X26" s="2" t="inlineStr">
        <is>
          <t>Database Design</t>
        </is>
      </c>
      <c r="Y26" s="2" t="inlineStr">
        <is>
          <t>CIN-T-003</t>
        </is>
      </c>
      <c r="Z26" s="2" t="inlineStr">
        <is>
          <t>Hoàn tất kết quả gốc: Adult, Child, Student,....</t>
        </is>
      </c>
      <c r="AA26" s="2" t="inlineStr">
        <is>
          <t>Kết quả gốc được kiểm tra và có bằng chứng gắn với CIN-SUB-025; ngoại lệ được ghi rõ.</t>
        </is>
      </c>
      <c r="AB26" s="2" t="inlineStr">
        <is>
          <t>Planned</t>
        </is>
      </c>
      <c r="AC26" s="2" t="inlineStr">
        <is>
          <t>Planned only; no completion evidence was transferred.</t>
        </is>
      </c>
    </row>
    <row r="27">
      <c r="A27" s="2" t="inlineStr">
        <is>
          <t>ORIG-026</t>
        </is>
      </c>
      <c r="B27" s="2" t="n">
        <v>27</v>
      </c>
      <c r="C27" s="2" t="inlineStr">
        <is>
          <t>Thiết kế Database</t>
        </is>
      </c>
      <c r="D27" s="2" t="n"/>
      <c r="E27" s="2" t="inlineStr">
        <is>
          <t>Thiết kế bảng Showtime</t>
        </is>
      </c>
      <c r="F27" s="2" t="inlineStr">
        <is>
          <t>Phim, phòng, thời gian bắt đầu, kết thúc, trạng thái</t>
        </is>
      </c>
      <c r="G27" s="2" t="inlineStr">
        <is>
          <t>Bắt buộc</t>
        </is>
      </c>
      <c r="H27" s="2" t="inlineStr">
        <is>
          <t>Sprint 2</t>
        </is>
      </c>
      <c r="I27" s="2" t="inlineStr">
        <is>
          <t>Nền tảng dữ liệu cho các nghiệp vụ cốt lõi.</t>
        </is>
      </c>
      <c r="J27" s="2" t="inlineStr">
        <is>
          <t>PH-02</t>
        </is>
      </c>
      <c r="K27" s="2" t="inlineStr">
        <is>
          <t>Solution Design &amp; Foundations</t>
        </is>
      </c>
      <c r="L27" s="2" t="inlineStr">
        <is>
          <t>CIN-T-004</t>
        </is>
      </c>
      <c r="M27" s="2" t="inlineStr">
        <is>
          <t>Thiết kế dữ liệu phim, phòng, ghế và suất chiếu</t>
        </is>
      </c>
      <c r="N27" s="2" t="inlineStr">
        <is>
          <t>24120235</t>
        </is>
      </c>
      <c r="O27" s="2" t="inlineStr">
        <is>
          <t>Huynh Thanh Tu</t>
        </is>
      </c>
      <c r="P27" s="2" t="inlineStr">
        <is>
          <t>CIN-SUB-026</t>
        </is>
      </c>
      <c r="Q27" s="2" t="inlineStr">
        <is>
          <t>Sprint 2</t>
        </is>
      </c>
      <c r="R27" s="2" t="inlineStr">
        <is>
          <t>24120255</t>
        </is>
      </c>
      <c r="S27" s="2" t="inlineStr">
        <is>
          <t>Tran Thien An</t>
        </is>
      </c>
      <c r="T27" s="3" t="n">
        <v>46312</v>
      </c>
      <c r="U27" s="3" t="n">
        <v>46325</v>
      </c>
      <c r="V27" s="2" t="n">
        <v>2</v>
      </c>
      <c r="W27" s="2" t="inlineStr">
        <is>
          <t>High</t>
        </is>
      </c>
      <c r="X27" s="2" t="inlineStr">
        <is>
          <t>Database Design</t>
        </is>
      </c>
      <c r="Y27" s="2" t="inlineStr">
        <is>
          <t>CIN-T-003</t>
        </is>
      </c>
      <c r="Z27" s="2" t="inlineStr">
        <is>
          <t>Hoàn tất kết quả gốc: Phim, phòng, thời gian bắt đầu, kết thúc, trạng thái.</t>
        </is>
      </c>
      <c r="AA27" s="2" t="inlineStr">
        <is>
          <t>Kết quả gốc được kiểm tra và có bằng chứng gắn với CIN-SUB-026; ngoại lệ được ghi rõ.</t>
        </is>
      </c>
      <c r="AB27" s="2" t="inlineStr">
        <is>
          <t>Planned</t>
        </is>
      </c>
      <c r="AC27" s="2" t="inlineStr">
        <is>
          <t>Planned only; no completion evidence was transferred.</t>
        </is>
      </c>
    </row>
    <row r="28">
      <c r="A28" s="2" t="inlineStr">
        <is>
          <t>ORIG-027</t>
        </is>
      </c>
      <c r="B28" s="2" t="n">
        <v>28</v>
      </c>
      <c r="C28" s="2" t="inlineStr">
        <is>
          <t>Thiết kế Database</t>
        </is>
      </c>
      <c r="D28" s="2" t="n"/>
      <c r="E28" s="2" t="inlineStr">
        <is>
          <t>Thiết kế bảng Booking</t>
        </is>
      </c>
      <c r="F28" s="2" t="inlineStr">
        <is>
          <t>Customer, thời gian đặt, tổng tiền, trạng thái</t>
        </is>
      </c>
      <c r="G28" s="2" t="inlineStr">
        <is>
          <t>Bắt buộc</t>
        </is>
      </c>
      <c r="H28" s="2" t="inlineStr">
        <is>
          <t>Sprint 2</t>
        </is>
      </c>
      <c r="I28" s="2" t="inlineStr">
        <is>
          <t>Nền tảng dữ liệu cho các nghiệp vụ cốt lõi.</t>
        </is>
      </c>
      <c r="J28" s="2" t="inlineStr">
        <is>
          <t>PH-02</t>
        </is>
      </c>
      <c r="K28" s="2" t="inlineStr">
        <is>
          <t>Solution Design &amp; Foundations</t>
        </is>
      </c>
      <c r="L28" s="2" t="inlineStr">
        <is>
          <t>CIN-T-005</t>
        </is>
      </c>
      <c r="M28" s="2" t="inlineStr">
        <is>
          <t>Thiết kế dữ liệu booking, ticket, payment và user</t>
        </is>
      </c>
      <c r="N28" s="2" t="inlineStr">
        <is>
          <t>24120271</t>
        </is>
      </c>
      <c r="O28" s="2" t="inlineStr">
        <is>
          <t>Nguyen Trung Chinh</t>
        </is>
      </c>
      <c r="P28" s="2" t="inlineStr">
        <is>
          <t>CIN-SUB-027</t>
        </is>
      </c>
      <c r="Q28" s="2" t="inlineStr">
        <is>
          <t>Sprint 2</t>
        </is>
      </c>
      <c r="R28" s="2" t="inlineStr">
        <is>
          <t>24120271</t>
        </is>
      </c>
      <c r="S28" s="2" t="inlineStr">
        <is>
          <t>Nguyen Trung Chinh</t>
        </is>
      </c>
      <c r="T28" s="3" t="n">
        <v>46312</v>
      </c>
      <c r="U28" s="3" t="n">
        <v>46325</v>
      </c>
      <c r="V28" s="2" t="n">
        <v>3</v>
      </c>
      <c r="W28" s="2" t="inlineStr">
        <is>
          <t>High</t>
        </is>
      </c>
      <c r="X28" s="2" t="inlineStr">
        <is>
          <t>Database Design</t>
        </is>
      </c>
      <c r="Y28" s="2" t="inlineStr">
        <is>
          <t>CIN-T-004</t>
        </is>
      </c>
      <c r="Z28" s="2" t="inlineStr">
        <is>
          <t>Hoàn tất kết quả gốc: Customer, thời gian đặt, tổng tiền, trạng thái.</t>
        </is>
      </c>
      <c r="AA28" s="2" t="inlineStr">
        <is>
          <t>Kết quả gốc được kiểm tra và có bằng chứng gắn với CIN-SUB-027; ngoại lệ được ghi rõ.</t>
        </is>
      </c>
      <c r="AB28" s="2" t="inlineStr">
        <is>
          <t>Planned</t>
        </is>
      </c>
      <c r="AC28" s="2" t="inlineStr">
        <is>
          <t>Planned only; no completion evidence was transferred.</t>
        </is>
      </c>
    </row>
    <row r="29">
      <c r="A29" s="2" t="inlineStr">
        <is>
          <t>ORIG-028</t>
        </is>
      </c>
      <c r="B29" s="2" t="n">
        <v>29</v>
      </c>
      <c r="C29" s="2" t="inlineStr">
        <is>
          <t>Thiết kế Database</t>
        </is>
      </c>
      <c r="D29" s="2" t="n"/>
      <c r="E29" s="2" t="inlineStr">
        <is>
          <t>Thiết kế bảng BookingDetail</t>
        </is>
      </c>
      <c r="F29" s="2" t="inlineStr">
        <is>
          <t>Ghế, loại vé, giá snapshot, sức chứa</t>
        </is>
      </c>
      <c r="G29" s="2" t="inlineStr">
        <is>
          <t>Bắt buộc</t>
        </is>
      </c>
      <c r="H29" s="2" t="inlineStr">
        <is>
          <t>Sprint 2</t>
        </is>
      </c>
      <c r="I29" s="2" t="inlineStr">
        <is>
          <t>Nền tảng dữ liệu cho các nghiệp vụ cốt lõi.</t>
        </is>
      </c>
      <c r="J29" s="2" t="inlineStr">
        <is>
          <t>PH-02</t>
        </is>
      </c>
      <c r="K29" s="2" t="inlineStr">
        <is>
          <t>Solution Design &amp; Foundations</t>
        </is>
      </c>
      <c r="L29" s="2" t="inlineStr">
        <is>
          <t>CIN-T-005</t>
        </is>
      </c>
      <c r="M29" s="2" t="inlineStr">
        <is>
          <t>Thiết kế dữ liệu booking, ticket, payment và user</t>
        </is>
      </c>
      <c r="N29" s="2" t="inlineStr">
        <is>
          <t>24120271</t>
        </is>
      </c>
      <c r="O29" s="2" t="inlineStr">
        <is>
          <t>Nguyen Trung Chinh</t>
        </is>
      </c>
      <c r="P29" s="2" t="inlineStr">
        <is>
          <t>CIN-SUB-028</t>
        </is>
      </c>
      <c r="Q29" s="2" t="inlineStr">
        <is>
          <t>Sprint 2</t>
        </is>
      </c>
      <c r="R29" s="2" t="inlineStr">
        <is>
          <t>24120098</t>
        </is>
      </c>
      <c r="S29" s="2" t="inlineStr">
        <is>
          <t>Nguyen Quoc Nam</t>
        </is>
      </c>
      <c r="T29" s="3" t="n">
        <v>46312</v>
      </c>
      <c r="U29" s="3" t="n">
        <v>46325</v>
      </c>
      <c r="V29" s="2" t="n">
        <v>3</v>
      </c>
      <c r="W29" s="2" t="inlineStr">
        <is>
          <t>High</t>
        </is>
      </c>
      <c r="X29" s="2" t="inlineStr">
        <is>
          <t>Database Design</t>
        </is>
      </c>
      <c r="Y29" s="2" t="inlineStr">
        <is>
          <t>CIN-T-004</t>
        </is>
      </c>
      <c r="Z29" s="2" t="inlineStr">
        <is>
          <t>Hoàn tất kết quả gốc: Ghế, loại vé, giá snapshot, sức chứa.</t>
        </is>
      </c>
      <c r="AA29" s="2" t="inlineStr">
        <is>
          <t>Kết quả gốc được kiểm tra và có bằng chứng gắn với CIN-SUB-028; ngoại lệ được ghi rõ.</t>
        </is>
      </c>
      <c r="AB29" s="2" t="inlineStr">
        <is>
          <t>Planned</t>
        </is>
      </c>
      <c r="AC29" s="2" t="inlineStr">
        <is>
          <t>Planned only; no completion evidence was transferred. Conditional/optional; confirm rubric, infrastructure and remaining capacity.</t>
        </is>
      </c>
    </row>
    <row r="30">
      <c r="A30" s="2" t="inlineStr">
        <is>
          <t>ORIG-029</t>
        </is>
      </c>
      <c r="B30" s="2" t="n">
        <v>30</v>
      </c>
      <c r="C30" s="2" t="inlineStr">
        <is>
          <t>Thiết kế Database</t>
        </is>
      </c>
      <c r="D30" s="2" t="n"/>
      <c r="E30" s="2" t="inlineStr">
        <is>
          <t>Thiết kế bảng Ticket</t>
        </is>
      </c>
      <c r="F30" s="2" t="inlineStr">
        <is>
          <t>Mã vé, booking, ghế, QR Code, trạng thái</t>
        </is>
      </c>
      <c r="G30" s="2" t="inlineStr">
        <is>
          <t>Bắt buộc</t>
        </is>
      </c>
      <c r="H30" s="2" t="inlineStr">
        <is>
          <t>Sprint 2</t>
        </is>
      </c>
      <c r="I30" s="2" t="inlineStr">
        <is>
          <t>Nền tảng dữ liệu cho các nghiệp vụ cốt lõi.</t>
        </is>
      </c>
      <c r="J30" s="2" t="inlineStr">
        <is>
          <t>PH-02</t>
        </is>
      </c>
      <c r="K30" s="2" t="inlineStr">
        <is>
          <t>Solution Design &amp; Foundations</t>
        </is>
      </c>
      <c r="L30" s="2" t="inlineStr">
        <is>
          <t>CIN-T-005</t>
        </is>
      </c>
      <c r="M30" s="2" t="inlineStr">
        <is>
          <t>Thiết kế dữ liệu booking, ticket, payment và user</t>
        </is>
      </c>
      <c r="N30" s="2" t="inlineStr">
        <is>
          <t>24120271</t>
        </is>
      </c>
      <c r="O30" s="2" t="inlineStr">
        <is>
          <t>Nguyen Trung Chinh</t>
        </is>
      </c>
      <c r="P30" s="2" t="inlineStr">
        <is>
          <t>CIN-SUB-029</t>
        </is>
      </c>
      <c r="Q30" s="2" t="inlineStr">
        <is>
          <t>Sprint 2</t>
        </is>
      </c>
      <c r="R30" s="2" t="inlineStr">
        <is>
          <t>24120244</t>
        </is>
      </c>
      <c r="S30" s="2" t="inlineStr">
        <is>
          <t>Phan Van Viet</t>
        </is>
      </c>
      <c r="T30" s="3" t="n">
        <v>46312</v>
      </c>
      <c r="U30" s="3" t="n">
        <v>46325</v>
      </c>
      <c r="V30" s="2" t="n">
        <v>3</v>
      </c>
      <c r="W30" s="2" t="inlineStr">
        <is>
          <t>High</t>
        </is>
      </c>
      <c r="X30" s="2" t="inlineStr">
        <is>
          <t>Database Design</t>
        </is>
      </c>
      <c r="Y30" s="2" t="inlineStr">
        <is>
          <t>CIN-T-004</t>
        </is>
      </c>
      <c r="Z30" s="2" t="inlineStr">
        <is>
          <t>Hoàn tất kết quả gốc: Mã vé, booking, ghế, QR Code, trạng thái.</t>
        </is>
      </c>
      <c r="AA30" s="2" t="inlineStr">
        <is>
          <t>Kết quả gốc được kiểm tra và có bằng chứng gắn với CIN-SUB-029; ngoại lệ được ghi rõ.</t>
        </is>
      </c>
      <c r="AB30" s="2" t="inlineStr">
        <is>
          <t>Planned</t>
        </is>
      </c>
      <c r="AC30" s="2" t="inlineStr">
        <is>
          <t>Planned only; no completion evidence was transferred.</t>
        </is>
      </c>
    </row>
    <row r="31">
      <c r="A31" s="2" t="inlineStr">
        <is>
          <t>ORIG-030</t>
        </is>
      </c>
      <c r="B31" s="2" t="n">
        <v>31</v>
      </c>
      <c r="C31" s="2" t="inlineStr">
        <is>
          <t>Thiết kế Database</t>
        </is>
      </c>
      <c r="D31" s="2" t="n"/>
      <c r="E31" s="2" t="inlineStr">
        <is>
          <t>Thiết kế bảng Payment</t>
        </is>
      </c>
      <c r="F31" s="2" t="inlineStr">
        <is>
          <t>Mã giao dịch, số tiền, phương thức, trạng thái</t>
        </is>
      </c>
      <c r="G31" s="2" t="inlineStr">
        <is>
          <t>Bắt buộc</t>
        </is>
      </c>
      <c r="H31" s="2" t="inlineStr">
        <is>
          <t>Sprint 2</t>
        </is>
      </c>
      <c r="I31" s="2" t="inlineStr">
        <is>
          <t>Nền tảng dữ liệu cho các nghiệp vụ cốt lõi.</t>
        </is>
      </c>
      <c r="J31" s="2" t="inlineStr">
        <is>
          <t>PH-02</t>
        </is>
      </c>
      <c r="K31" s="2" t="inlineStr">
        <is>
          <t>Solution Design &amp; Foundations</t>
        </is>
      </c>
      <c r="L31" s="2" t="inlineStr">
        <is>
          <t>CIN-T-005</t>
        </is>
      </c>
      <c r="M31" s="2" t="inlineStr">
        <is>
          <t>Thiết kế dữ liệu booking, ticket, payment và user</t>
        </is>
      </c>
      <c r="N31" s="2" t="inlineStr">
        <is>
          <t>24120271</t>
        </is>
      </c>
      <c r="O31" s="2" t="inlineStr">
        <is>
          <t>Nguyen Trung Chinh</t>
        </is>
      </c>
      <c r="P31" s="2" t="inlineStr">
        <is>
          <t>CIN-SUB-030</t>
        </is>
      </c>
      <c r="Q31" s="2" t="inlineStr">
        <is>
          <t>Sprint 2</t>
        </is>
      </c>
      <c r="R31" s="2" t="inlineStr">
        <is>
          <t>24120255</t>
        </is>
      </c>
      <c r="S31" s="2" t="inlineStr">
        <is>
          <t>Tran Thien An</t>
        </is>
      </c>
      <c r="T31" s="3" t="n">
        <v>46312</v>
      </c>
      <c r="U31" s="3" t="n">
        <v>46325</v>
      </c>
      <c r="V31" s="2" t="n">
        <v>3</v>
      </c>
      <c r="W31" s="2" t="inlineStr">
        <is>
          <t>High</t>
        </is>
      </c>
      <c r="X31" s="2" t="inlineStr">
        <is>
          <t>Database Design</t>
        </is>
      </c>
      <c r="Y31" s="2" t="inlineStr">
        <is>
          <t>CIN-T-004</t>
        </is>
      </c>
      <c r="Z31" s="2" t="inlineStr">
        <is>
          <t>Hoàn tất kết quả gốc: Mã giao dịch, số tiền, phương thức, trạng thái.</t>
        </is>
      </c>
      <c r="AA31" s="2" t="inlineStr">
        <is>
          <t>Kết quả gốc được kiểm tra và có bằng chứng gắn với CIN-SUB-030; ngoại lệ được ghi rõ.</t>
        </is>
      </c>
      <c r="AB31" s="2" t="inlineStr">
        <is>
          <t>Planned</t>
        </is>
      </c>
      <c r="AC31" s="2" t="inlineStr">
        <is>
          <t>Planned only; no completion evidence was transferred.</t>
        </is>
      </c>
    </row>
    <row r="32">
      <c r="A32" s="2" t="inlineStr">
        <is>
          <t>ORIG-031</t>
        </is>
      </c>
      <c r="B32" s="2" t="n">
        <v>32</v>
      </c>
      <c r="C32" s="2" t="inlineStr">
        <is>
          <t>Thiết kế Database</t>
        </is>
      </c>
      <c r="D32" s="2" t="n"/>
      <c r="E32" s="2" t="inlineStr">
        <is>
          <t>Thiết kế bảng User</t>
        </is>
      </c>
      <c r="F32" s="2" t="inlineStr">
        <is>
          <t>Tài khoản người dùng</t>
        </is>
      </c>
      <c r="G32" s="2" t="inlineStr">
        <is>
          <t>Bắt buộc</t>
        </is>
      </c>
      <c r="H32" s="2" t="inlineStr">
        <is>
          <t>Sprint 2</t>
        </is>
      </c>
      <c r="I32" s="2" t="inlineStr">
        <is>
          <t>Nền tảng dữ liệu cho các nghiệp vụ cốt lõi.</t>
        </is>
      </c>
      <c r="J32" s="2" t="inlineStr">
        <is>
          <t>PH-02</t>
        </is>
      </c>
      <c r="K32" s="2" t="inlineStr">
        <is>
          <t>Solution Design &amp; Foundations</t>
        </is>
      </c>
      <c r="L32" s="2" t="inlineStr">
        <is>
          <t>CIN-T-005</t>
        </is>
      </c>
      <c r="M32" s="2" t="inlineStr">
        <is>
          <t>Thiết kế dữ liệu booking, ticket, payment và user</t>
        </is>
      </c>
      <c r="N32" s="2" t="inlineStr">
        <is>
          <t>24120271</t>
        </is>
      </c>
      <c r="O32" s="2" t="inlineStr">
        <is>
          <t>Nguyen Trung Chinh</t>
        </is>
      </c>
      <c r="P32" s="2" t="inlineStr">
        <is>
          <t>CIN-SUB-031</t>
        </is>
      </c>
      <c r="Q32" s="2" t="inlineStr">
        <is>
          <t>Sprint 2</t>
        </is>
      </c>
      <c r="R32" s="2" t="inlineStr">
        <is>
          <t>24120235</t>
        </is>
      </c>
      <c r="S32" s="2" t="inlineStr">
        <is>
          <t>Huynh Thanh Tu</t>
        </is>
      </c>
      <c r="T32" s="3" t="n">
        <v>46312</v>
      </c>
      <c r="U32" s="3" t="n">
        <v>46325</v>
      </c>
      <c r="V32" s="2" t="n">
        <v>2</v>
      </c>
      <c r="W32" s="2" t="inlineStr">
        <is>
          <t>High</t>
        </is>
      </c>
      <c r="X32" s="2" t="inlineStr">
        <is>
          <t>Database Design</t>
        </is>
      </c>
      <c r="Y32" s="2" t="inlineStr">
        <is>
          <t>CIN-T-004</t>
        </is>
      </c>
      <c r="Z32" s="2" t="inlineStr">
        <is>
          <t>Hoàn tất kết quả gốc: Tài khoản người dùng.</t>
        </is>
      </c>
      <c r="AA32" s="2" t="inlineStr">
        <is>
          <t>Kết quả gốc được kiểm tra và có bằng chứng gắn với CIN-SUB-031; ngoại lệ được ghi rõ.</t>
        </is>
      </c>
      <c r="AB32" s="2" t="inlineStr">
        <is>
          <t>Planned</t>
        </is>
      </c>
      <c r="AC32" s="2" t="inlineStr">
        <is>
          <t>Planned only; no completion evidence was transferred.</t>
        </is>
      </c>
    </row>
    <row r="33">
      <c r="A33" s="2" t="inlineStr">
        <is>
          <t>ORIG-032</t>
        </is>
      </c>
      <c r="B33" s="2" t="n">
        <v>33</v>
      </c>
      <c r="C33" s="2" t="inlineStr">
        <is>
          <t>Thiết kế Database</t>
        </is>
      </c>
      <c r="D33" s="2" t="n"/>
      <c r="E33" s="2" t="inlineStr">
        <is>
          <t>Thiết kế bảng Role</t>
        </is>
      </c>
      <c r="F33" s="2" t="inlineStr">
        <is>
          <t>Phân quyền</t>
        </is>
      </c>
      <c r="G33" s="2" t="inlineStr">
        <is>
          <t>Bắt buộc</t>
        </is>
      </c>
      <c r="H33" s="2" t="inlineStr">
        <is>
          <t>Sprint 2</t>
        </is>
      </c>
      <c r="I33" s="2" t="inlineStr">
        <is>
          <t>Nền tảng dữ liệu cho các nghiệp vụ cốt lõi.</t>
        </is>
      </c>
      <c r="J33" s="2" t="inlineStr">
        <is>
          <t>PH-02</t>
        </is>
      </c>
      <c r="K33" s="2" t="inlineStr">
        <is>
          <t>Solution Design &amp; Foundations</t>
        </is>
      </c>
      <c r="L33" s="2" t="inlineStr">
        <is>
          <t>CIN-T-005</t>
        </is>
      </c>
      <c r="M33" s="2" t="inlineStr">
        <is>
          <t>Thiết kế dữ liệu booking, ticket, payment và user</t>
        </is>
      </c>
      <c r="N33" s="2" t="inlineStr">
        <is>
          <t>24120271</t>
        </is>
      </c>
      <c r="O33" s="2" t="inlineStr">
        <is>
          <t>Nguyen Trung Chinh</t>
        </is>
      </c>
      <c r="P33" s="2" t="inlineStr">
        <is>
          <t>CIN-SUB-032</t>
        </is>
      </c>
      <c r="Q33" s="2" t="inlineStr">
        <is>
          <t>Sprint 2</t>
        </is>
      </c>
      <c r="R33" s="2" t="inlineStr">
        <is>
          <t>24120271</t>
        </is>
      </c>
      <c r="S33" s="2" t="inlineStr">
        <is>
          <t>Nguyen Trung Chinh</t>
        </is>
      </c>
      <c r="T33" s="3" t="n">
        <v>46312</v>
      </c>
      <c r="U33" s="3" t="n">
        <v>46325</v>
      </c>
      <c r="V33" s="2" t="n">
        <v>2</v>
      </c>
      <c r="W33" s="2" t="inlineStr">
        <is>
          <t>High</t>
        </is>
      </c>
      <c r="X33" s="2" t="inlineStr">
        <is>
          <t>Database Design</t>
        </is>
      </c>
      <c r="Y33" s="2" t="inlineStr">
        <is>
          <t>CIN-T-004</t>
        </is>
      </c>
      <c r="Z33" s="2" t="inlineStr">
        <is>
          <t>Hoàn tất kết quả gốc: Phân quyền.</t>
        </is>
      </c>
      <c r="AA33" s="2" t="inlineStr">
        <is>
          <t>Kết quả gốc được kiểm tra và có bằng chứng gắn với CIN-SUB-032; ngoại lệ được ghi rõ.</t>
        </is>
      </c>
      <c r="AB33" s="2" t="inlineStr">
        <is>
          <t>Planned</t>
        </is>
      </c>
      <c r="AC33" s="2" t="inlineStr">
        <is>
          <t>Planned only; no completion evidence was transferred.</t>
        </is>
      </c>
    </row>
    <row r="34">
      <c r="A34" s="2" t="inlineStr">
        <is>
          <t>ORIG-033</t>
        </is>
      </c>
      <c r="B34" s="2" t="n">
        <v>34</v>
      </c>
      <c r="C34" s="2" t="inlineStr">
        <is>
          <t>Thiết kế Database</t>
        </is>
      </c>
      <c r="D34" s="2" t="n"/>
      <c r="E34" s="2" t="inlineStr">
        <is>
          <t>Thiết kế bảng UserRole</t>
        </is>
      </c>
      <c r="F34" s="2" t="inlineStr">
        <is>
          <t>Quan hệ User – Role nếu cần</t>
        </is>
      </c>
      <c r="G34" s="2" t="inlineStr">
        <is>
          <t>Bắt buộc</t>
        </is>
      </c>
      <c r="H34" s="2" t="inlineStr">
        <is>
          <t>Sprint 2</t>
        </is>
      </c>
      <c r="I34" s="2" t="inlineStr">
        <is>
          <t>Nền tảng dữ liệu cho các nghiệp vụ cốt lõi.</t>
        </is>
      </c>
      <c r="J34" s="2" t="inlineStr">
        <is>
          <t>PH-02</t>
        </is>
      </c>
      <c r="K34" s="2" t="inlineStr">
        <is>
          <t>Solution Design &amp; Foundations</t>
        </is>
      </c>
      <c r="L34" s="2" t="inlineStr">
        <is>
          <t>CIN-T-005</t>
        </is>
      </c>
      <c r="M34" s="2" t="inlineStr">
        <is>
          <t>Thiết kế dữ liệu booking, ticket, payment và user</t>
        </is>
      </c>
      <c r="N34" s="2" t="inlineStr">
        <is>
          <t>24120271</t>
        </is>
      </c>
      <c r="O34" s="2" t="inlineStr">
        <is>
          <t>Nguyen Trung Chinh</t>
        </is>
      </c>
      <c r="P34" s="2" t="inlineStr">
        <is>
          <t>CIN-SUB-033</t>
        </is>
      </c>
      <c r="Q34" s="2" t="inlineStr">
        <is>
          <t>Sprint 2</t>
        </is>
      </c>
      <c r="R34" s="2" t="inlineStr">
        <is>
          <t>24120098</t>
        </is>
      </c>
      <c r="S34" s="2" t="inlineStr">
        <is>
          <t>Nguyen Quoc Nam</t>
        </is>
      </c>
      <c r="T34" s="3" t="n">
        <v>46312</v>
      </c>
      <c r="U34" s="3" t="n">
        <v>46325</v>
      </c>
      <c r="V34" s="2" t="n">
        <v>2</v>
      </c>
      <c r="W34" s="2" t="inlineStr">
        <is>
          <t>High</t>
        </is>
      </c>
      <c r="X34" s="2" t="inlineStr">
        <is>
          <t>Database Design</t>
        </is>
      </c>
      <c r="Y34" s="2" t="inlineStr">
        <is>
          <t>CIN-T-004</t>
        </is>
      </c>
      <c r="Z34" s="2" t="inlineStr">
        <is>
          <t>Hoàn tất kết quả gốc: Quan hệ User – Role nếu cần.</t>
        </is>
      </c>
      <c r="AA34" s="2" t="inlineStr">
        <is>
          <t>Kết quả gốc được kiểm tra và có bằng chứng gắn với CIN-SUB-033; ngoại lệ được ghi rõ.</t>
        </is>
      </c>
      <c r="AB34" s="2" t="inlineStr">
        <is>
          <t>Planned</t>
        </is>
      </c>
      <c r="AC34" s="2" t="inlineStr">
        <is>
          <t>Planned only; no completion evidence was transferred.</t>
        </is>
      </c>
    </row>
    <row r="35">
      <c r="A35" s="2" t="inlineStr">
        <is>
          <t>ORIG-034</t>
        </is>
      </c>
      <c r="B35" s="2" t="n">
        <v>35</v>
      </c>
      <c r="C35" s="2" t="inlineStr">
        <is>
          <t>Thiết kế Database</t>
        </is>
      </c>
      <c r="D35" s="2" t="n"/>
      <c r="E35" s="2" t="inlineStr">
        <is>
          <t>Thiết kế quan hệ</t>
        </is>
      </c>
      <c r="F35" s="2" t="inlineStr">
        <is>
          <t>Xác định 1-1, 1-N, N-N</t>
        </is>
      </c>
      <c r="G35" s="2" t="inlineStr">
        <is>
          <t>Bắt buộc</t>
        </is>
      </c>
      <c r="H35" s="2" t="inlineStr">
        <is>
          <t>Sprint 2</t>
        </is>
      </c>
      <c r="I35" s="2" t="inlineStr">
        <is>
          <t>Nền tảng dữ liệu cho các nghiệp vụ cốt lõi.</t>
        </is>
      </c>
      <c r="J35" s="2" t="inlineStr">
        <is>
          <t>PH-02</t>
        </is>
      </c>
      <c r="K35" s="2" t="inlineStr">
        <is>
          <t>Solution Design &amp; Foundations</t>
        </is>
      </c>
      <c r="L35" s="2" t="inlineStr">
        <is>
          <t>CIN-T-006</t>
        </is>
      </c>
      <c r="M35" s="2" t="inlineStr">
        <is>
          <t>Xác định quan hệ, ràng buộc và tính toàn vẹn dữ liệu</t>
        </is>
      </c>
      <c r="N35" s="2" t="inlineStr">
        <is>
          <t>24120244</t>
        </is>
      </c>
      <c r="O35" s="2" t="inlineStr">
        <is>
          <t>Phan Van Viet</t>
        </is>
      </c>
      <c r="P35" s="2" t="inlineStr">
        <is>
          <t>CIN-SUB-034</t>
        </is>
      </c>
      <c r="Q35" s="2" t="inlineStr">
        <is>
          <t>Sprint 2</t>
        </is>
      </c>
      <c r="R35" s="2" t="inlineStr">
        <is>
          <t>24120244</t>
        </is>
      </c>
      <c r="S35" s="2" t="inlineStr">
        <is>
          <t>Phan Van Viet</t>
        </is>
      </c>
      <c r="T35" s="3" t="n">
        <v>46312</v>
      </c>
      <c r="U35" s="3" t="n">
        <v>46325</v>
      </c>
      <c r="V35" s="2" t="n">
        <v>2</v>
      </c>
      <c r="W35" s="2" t="inlineStr">
        <is>
          <t>High</t>
        </is>
      </c>
      <c r="X35" s="2" t="inlineStr">
        <is>
          <t>Database Design</t>
        </is>
      </c>
      <c r="Y35" s="2" t="inlineStr">
        <is>
          <t>CIN-T-005</t>
        </is>
      </c>
      <c r="Z35" s="2" t="inlineStr">
        <is>
          <t>Hoàn tất kết quả gốc: Xác định 1-1, 1-N, N-N.</t>
        </is>
      </c>
      <c r="AA35" s="2" t="inlineStr">
        <is>
          <t>Kết quả gốc được kiểm tra và có bằng chứng gắn với CIN-SUB-034; ngoại lệ được ghi rõ.</t>
        </is>
      </c>
      <c r="AB35" s="2" t="inlineStr">
        <is>
          <t>Planned</t>
        </is>
      </c>
      <c r="AC35" s="2" t="inlineStr">
        <is>
          <t>Planned only; no completion evidence was transferred.</t>
        </is>
      </c>
    </row>
    <row r="36">
      <c r="A36" s="2" t="inlineStr">
        <is>
          <t>ORIG-035</t>
        </is>
      </c>
      <c r="B36" s="2" t="n">
        <v>36</v>
      </c>
      <c r="C36" s="2" t="inlineStr">
        <is>
          <t>Thiết kế Database</t>
        </is>
      </c>
      <c r="D36" s="2" t="n"/>
      <c r="E36" s="2" t="inlineStr">
        <is>
          <t>Xác định PK/FK</t>
        </is>
      </c>
      <c r="F36" s="2" t="inlineStr">
        <is>
          <t>Khóa chính và khóa ngoại</t>
        </is>
      </c>
      <c r="G36" s="2" t="inlineStr">
        <is>
          <t>Bắt buộc</t>
        </is>
      </c>
      <c r="H36" s="2" t="inlineStr">
        <is>
          <t>Sprint 2</t>
        </is>
      </c>
      <c r="I36" s="2" t="inlineStr">
        <is>
          <t>Nền tảng dữ liệu cho các nghiệp vụ cốt lõi.</t>
        </is>
      </c>
      <c r="J36" s="2" t="inlineStr">
        <is>
          <t>PH-02</t>
        </is>
      </c>
      <c r="K36" s="2" t="inlineStr">
        <is>
          <t>Solution Design &amp; Foundations</t>
        </is>
      </c>
      <c r="L36" s="2" t="inlineStr">
        <is>
          <t>CIN-T-006</t>
        </is>
      </c>
      <c r="M36" s="2" t="inlineStr">
        <is>
          <t>Xác định quan hệ, ràng buộc và tính toàn vẹn dữ liệu</t>
        </is>
      </c>
      <c r="N36" s="2" t="inlineStr">
        <is>
          <t>24120244</t>
        </is>
      </c>
      <c r="O36" s="2" t="inlineStr">
        <is>
          <t>Phan Van Viet</t>
        </is>
      </c>
      <c r="P36" s="2" t="inlineStr">
        <is>
          <t>CIN-SUB-035</t>
        </is>
      </c>
      <c r="Q36" s="2" t="inlineStr">
        <is>
          <t>Sprint 2</t>
        </is>
      </c>
      <c r="R36" s="2" t="inlineStr">
        <is>
          <t>24120235</t>
        </is>
      </c>
      <c r="S36" s="2" t="inlineStr">
        <is>
          <t>Huynh Thanh Tu</t>
        </is>
      </c>
      <c r="T36" s="3" t="n">
        <v>46312</v>
      </c>
      <c r="U36" s="3" t="n">
        <v>46325</v>
      </c>
      <c r="V36" s="2" t="n">
        <v>2</v>
      </c>
      <c r="W36" s="2" t="inlineStr">
        <is>
          <t>High</t>
        </is>
      </c>
      <c r="X36" s="2" t="inlineStr">
        <is>
          <t>Database Design</t>
        </is>
      </c>
      <c r="Y36" s="2" t="inlineStr">
        <is>
          <t>CIN-T-005</t>
        </is>
      </c>
      <c r="Z36" s="2" t="inlineStr">
        <is>
          <t>Hoàn tất kết quả gốc: Khóa chính và khóa ngoại.</t>
        </is>
      </c>
      <c r="AA36" s="2" t="inlineStr">
        <is>
          <t>Kết quả gốc được kiểm tra và có bằng chứng gắn với CIN-SUB-035; ngoại lệ được ghi rõ.</t>
        </is>
      </c>
      <c r="AB36" s="2" t="inlineStr">
        <is>
          <t>Planned</t>
        </is>
      </c>
      <c r="AC36" s="2" t="inlineStr">
        <is>
          <t>Planned only; no completion evidence was transferred.</t>
        </is>
      </c>
    </row>
    <row r="37">
      <c r="A37" s="2" t="inlineStr">
        <is>
          <t>ORIG-036</t>
        </is>
      </c>
      <c r="B37" s="2" t="n">
        <v>37</v>
      </c>
      <c r="C37" s="2" t="inlineStr">
        <is>
          <t>Thiết kế Database</t>
        </is>
      </c>
      <c r="D37" s="2" t="n"/>
      <c r="E37" s="2" t="inlineStr">
        <is>
          <t>Xác định kiểu dữ liệu</t>
        </is>
      </c>
      <c r="F37" s="2" t="inlineStr">
        <is>
          <t>bigint, smallint, varchar(n), text, numeric(14,0) / numeric(18,2), timestamptz (có múi giờ UTC), boolean, uuid, jsonb</t>
        </is>
      </c>
      <c r="G37" s="2" t="inlineStr">
        <is>
          <t>Bắt buộc</t>
        </is>
      </c>
      <c r="H37" s="2" t="inlineStr">
        <is>
          <t>Sprint 2</t>
        </is>
      </c>
      <c r="I37" s="2" t="inlineStr">
        <is>
          <t>Nền tảng dữ liệu cho các nghiệp vụ cốt lõi.</t>
        </is>
      </c>
      <c r="J37" s="2" t="inlineStr">
        <is>
          <t>PH-02</t>
        </is>
      </c>
      <c r="K37" s="2" t="inlineStr">
        <is>
          <t>Solution Design &amp; Foundations</t>
        </is>
      </c>
      <c r="L37" s="2" t="inlineStr">
        <is>
          <t>CIN-T-006</t>
        </is>
      </c>
      <c r="M37" s="2" t="inlineStr">
        <is>
          <t>Xác định quan hệ, ràng buộc và tính toàn vẹn dữ liệu</t>
        </is>
      </c>
      <c r="N37" s="2" t="inlineStr">
        <is>
          <t>24120244</t>
        </is>
      </c>
      <c r="O37" s="2" t="inlineStr">
        <is>
          <t>Phan Van Viet</t>
        </is>
      </c>
      <c r="P37" s="2" t="inlineStr">
        <is>
          <t>CIN-SUB-036</t>
        </is>
      </c>
      <c r="Q37" s="2" t="inlineStr">
        <is>
          <t>Sprint 2</t>
        </is>
      </c>
      <c r="R37" s="2" t="inlineStr">
        <is>
          <t>24120255</t>
        </is>
      </c>
      <c r="S37" s="2" t="inlineStr">
        <is>
          <t>Tran Thien An</t>
        </is>
      </c>
      <c r="T37" s="3" t="n">
        <v>46312</v>
      </c>
      <c r="U37" s="3" t="n">
        <v>46325</v>
      </c>
      <c r="V37" s="2" t="n">
        <v>2</v>
      </c>
      <c r="W37" s="2" t="inlineStr">
        <is>
          <t>High</t>
        </is>
      </c>
      <c r="X37" s="2" t="inlineStr">
        <is>
          <t>Database Design</t>
        </is>
      </c>
      <c r="Y37" s="2" t="inlineStr">
        <is>
          <t>CIN-T-005</t>
        </is>
      </c>
      <c r="Z37" s="2" t="inlineStr">
        <is>
          <t>Hoàn tất kết quả gốc: bigint, smallint, varchar(n), text, numeric(14,0) / numeric(18,2), timestamptz (có múi giờ UTC), boolean, uuid, jsonb.</t>
        </is>
      </c>
      <c r="AA37" s="2" t="inlineStr">
        <is>
          <t>Kết quả gốc được kiểm tra và có bằng chứng gắn với CIN-SUB-036; ngoại lệ được ghi rõ.</t>
        </is>
      </c>
      <c r="AB37" s="2" t="inlineStr">
        <is>
          <t>Planned</t>
        </is>
      </c>
      <c r="AC37" s="2" t="inlineStr">
        <is>
          <t>Planned only; no completion evidence was transferred.</t>
        </is>
      </c>
    </row>
    <row r="38">
      <c r="A38" s="2" t="inlineStr">
        <is>
          <t>ORIG-037</t>
        </is>
      </c>
      <c r="B38" s="2" t="n">
        <v>38</v>
      </c>
      <c r="C38" s="2" t="inlineStr">
        <is>
          <t>Thiết kế Database</t>
        </is>
      </c>
      <c r="D38" s="2" t="n"/>
      <c r="E38" s="2" t="inlineStr">
        <is>
          <t>Thiết lập ràng buộc</t>
        </is>
      </c>
      <c r="F38" s="2" t="inlineStr">
        <is>
          <t>NOT NULL, UNIQUE, CHECK, FK,...</t>
        </is>
      </c>
      <c r="G38" s="2" t="inlineStr">
        <is>
          <t>Bắt buộc</t>
        </is>
      </c>
      <c r="H38" s="2" t="inlineStr">
        <is>
          <t>Sprint 2</t>
        </is>
      </c>
      <c r="I38" s="2" t="inlineStr">
        <is>
          <t>Nền tảng dữ liệu cho các nghiệp vụ cốt lõi.</t>
        </is>
      </c>
      <c r="J38" s="2" t="inlineStr">
        <is>
          <t>PH-02</t>
        </is>
      </c>
      <c r="K38" s="2" t="inlineStr">
        <is>
          <t>Solution Design &amp; Foundations</t>
        </is>
      </c>
      <c r="L38" s="2" t="inlineStr">
        <is>
          <t>CIN-T-006</t>
        </is>
      </c>
      <c r="M38" s="2" t="inlineStr">
        <is>
          <t>Xác định quan hệ, ràng buộc và tính toàn vẹn dữ liệu</t>
        </is>
      </c>
      <c r="N38" s="2" t="inlineStr">
        <is>
          <t>24120244</t>
        </is>
      </c>
      <c r="O38" s="2" t="inlineStr">
        <is>
          <t>Phan Van Viet</t>
        </is>
      </c>
      <c r="P38" s="2" t="inlineStr">
        <is>
          <t>CIN-SUB-037</t>
        </is>
      </c>
      <c r="Q38" s="2" t="inlineStr">
        <is>
          <t>Sprint 2</t>
        </is>
      </c>
      <c r="R38" s="2" t="inlineStr">
        <is>
          <t>24120271</t>
        </is>
      </c>
      <c r="S38" s="2" t="inlineStr">
        <is>
          <t>Nguyen Trung Chinh</t>
        </is>
      </c>
      <c r="T38" s="3" t="n">
        <v>46312</v>
      </c>
      <c r="U38" s="3" t="n">
        <v>46325</v>
      </c>
      <c r="V38" s="2" t="n">
        <v>2</v>
      </c>
      <c r="W38" s="2" t="inlineStr">
        <is>
          <t>High</t>
        </is>
      </c>
      <c r="X38" s="2" t="inlineStr">
        <is>
          <t>Database Design</t>
        </is>
      </c>
      <c r="Y38" s="2" t="inlineStr">
        <is>
          <t>CIN-T-005</t>
        </is>
      </c>
      <c r="Z38" s="2" t="inlineStr">
        <is>
          <t>Hoàn tất kết quả gốc: NOT NULL, UNIQUE, CHECK, FK,....</t>
        </is>
      </c>
      <c r="AA38" s="2" t="inlineStr">
        <is>
          <t>Kết quả gốc được kiểm tra và có bằng chứng gắn với CIN-SUB-037; ngoại lệ được ghi rõ.</t>
        </is>
      </c>
      <c r="AB38" s="2" t="inlineStr">
        <is>
          <t>Planned</t>
        </is>
      </c>
      <c r="AC38" s="2" t="inlineStr">
        <is>
          <t>Planned only; no completion evidence was transferred.</t>
        </is>
      </c>
    </row>
    <row r="39">
      <c r="A39" s="2" t="inlineStr">
        <is>
          <t>ORIG-038</t>
        </is>
      </c>
      <c r="B39" s="2" t="n">
        <v>39</v>
      </c>
      <c r="C39" s="2" t="inlineStr">
        <is>
          <t>Thiết kế Database</t>
        </is>
      </c>
      <c r="D39" s="2" t="n"/>
      <c r="E39" s="2" t="inlineStr">
        <is>
          <t>Kiểm tra tính toàn vẹn</t>
        </is>
      </c>
      <c r="F39" s="2" t="inlineStr">
        <is>
          <t>Đảm bảo dữ liệu nhất quán</t>
        </is>
      </c>
      <c r="G39" s="2" t="inlineStr">
        <is>
          <t>Bắt buộc</t>
        </is>
      </c>
      <c r="H39" s="2" t="inlineStr">
        <is>
          <t>Sprint 2</t>
        </is>
      </c>
      <c r="I39" s="2" t="inlineStr">
        <is>
          <t>Nền tảng dữ liệu cho các nghiệp vụ cốt lõi.</t>
        </is>
      </c>
      <c r="J39" s="2" t="inlineStr">
        <is>
          <t>PH-02</t>
        </is>
      </c>
      <c r="K39" s="2" t="inlineStr">
        <is>
          <t>Solution Design &amp; Foundations</t>
        </is>
      </c>
      <c r="L39" s="2" t="inlineStr">
        <is>
          <t>CIN-T-006</t>
        </is>
      </c>
      <c r="M39" s="2" t="inlineStr">
        <is>
          <t>Xác định quan hệ, ràng buộc và tính toàn vẹn dữ liệu</t>
        </is>
      </c>
      <c r="N39" s="2" t="inlineStr">
        <is>
          <t>24120244</t>
        </is>
      </c>
      <c r="O39" s="2" t="inlineStr">
        <is>
          <t>Phan Van Viet</t>
        </is>
      </c>
      <c r="P39" s="2" t="inlineStr">
        <is>
          <t>CIN-SUB-038</t>
        </is>
      </c>
      <c r="Q39" s="2" t="inlineStr">
        <is>
          <t>Sprint 2</t>
        </is>
      </c>
      <c r="R39" s="2" t="inlineStr">
        <is>
          <t>24120098</t>
        </is>
      </c>
      <c r="S39" s="2" t="inlineStr">
        <is>
          <t>Nguyen Quoc Nam</t>
        </is>
      </c>
      <c r="T39" s="3" t="n">
        <v>46312</v>
      </c>
      <c r="U39" s="3" t="n">
        <v>46325</v>
      </c>
      <c r="V39" s="2" t="n">
        <v>2</v>
      </c>
      <c r="W39" s="2" t="inlineStr">
        <is>
          <t>High</t>
        </is>
      </c>
      <c r="X39" s="2" t="inlineStr">
        <is>
          <t>Database Design</t>
        </is>
      </c>
      <c r="Y39" s="2" t="inlineStr">
        <is>
          <t>CIN-T-005</t>
        </is>
      </c>
      <c r="Z39" s="2" t="inlineStr">
        <is>
          <t>Hoàn tất kết quả gốc: Đảm bảo dữ liệu nhất quán.</t>
        </is>
      </c>
      <c r="AA39" s="2" t="inlineStr">
        <is>
          <t>Kết quả gốc được kiểm tra và có bằng chứng gắn với CIN-SUB-038; ngoại lệ được ghi rõ.</t>
        </is>
      </c>
      <c r="AB39" s="2" t="inlineStr">
        <is>
          <t>Planned</t>
        </is>
      </c>
      <c r="AC39" s="2" t="inlineStr">
        <is>
          <t>Planned only; no completion evidence was transferred.</t>
        </is>
      </c>
    </row>
    <row r="40">
      <c r="A40" s="2" t="inlineStr">
        <is>
          <t>ORIG-039</t>
        </is>
      </c>
      <c r="B40" s="2" t="n">
        <v>40</v>
      </c>
      <c r="C40" s="2" t="inlineStr">
        <is>
          <t>Thiết kế Database</t>
        </is>
      </c>
      <c r="D40" s="2" t="n"/>
      <c r="E40" s="2" t="inlineStr">
        <is>
          <t>Kiểm tra trùng lịch</t>
        </is>
      </c>
      <c r="F40" s="2" t="inlineStr">
        <is>
          <t>Một phòng không có hai suất chiếu chồng thời gian</t>
        </is>
      </c>
      <c r="G40" s="2" t="inlineStr">
        <is>
          <t>Bắt buộc</t>
        </is>
      </c>
      <c r="H40" s="2" t="inlineStr">
        <is>
          <t>Sprint 2</t>
        </is>
      </c>
      <c r="I40" s="2" t="inlineStr">
        <is>
          <t>Nền tảng dữ liệu cho các nghiệp vụ cốt lõi.</t>
        </is>
      </c>
      <c r="J40" s="2" t="inlineStr">
        <is>
          <t>PH-02</t>
        </is>
      </c>
      <c r="K40" s="2" t="inlineStr">
        <is>
          <t>Solution Design &amp; Foundations</t>
        </is>
      </c>
      <c r="L40" s="2" t="inlineStr">
        <is>
          <t>CIN-T-006</t>
        </is>
      </c>
      <c r="M40" s="2" t="inlineStr">
        <is>
          <t>Xác định quan hệ, ràng buộc và tính toàn vẹn dữ liệu</t>
        </is>
      </c>
      <c r="N40" s="2" t="inlineStr">
        <is>
          <t>24120244</t>
        </is>
      </c>
      <c r="O40" s="2" t="inlineStr">
        <is>
          <t>Phan Van Viet</t>
        </is>
      </c>
      <c r="P40" s="2" t="inlineStr">
        <is>
          <t>CIN-SUB-039</t>
        </is>
      </c>
      <c r="Q40" s="2" t="inlineStr">
        <is>
          <t>Sprint 2</t>
        </is>
      </c>
      <c r="R40" s="2" t="inlineStr">
        <is>
          <t>24120244</t>
        </is>
      </c>
      <c r="S40" s="2" t="inlineStr">
        <is>
          <t>Phan Van Viet</t>
        </is>
      </c>
      <c r="T40" s="3" t="n">
        <v>46312</v>
      </c>
      <c r="U40" s="3" t="n">
        <v>46325</v>
      </c>
      <c r="V40" s="2" t="n">
        <v>2</v>
      </c>
      <c r="W40" s="2" t="inlineStr">
        <is>
          <t>High</t>
        </is>
      </c>
      <c r="X40" s="2" t="inlineStr">
        <is>
          <t>Database Design</t>
        </is>
      </c>
      <c r="Y40" s="2" t="inlineStr">
        <is>
          <t>CIN-T-005</t>
        </is>
      </c>
      <c r="Z40" s="2" t="inlineStr">
        <is>
          <t>Hoàn tất kết quả gốc: Một phòng không có hai suất chiếu chồng thời gian.</t>
        </is>
      </c>
      <c r="AA40" s="2" t="inlineStr">
        <is>
          <t>Kết quả gốc được kiểm tra và có bằng chứng gắn với CIN-SUB-039; ngoại lệ được ghi rõ.</t>
        </is>
      </c>
      <c r="AB40" s="2" t="inlineStr">
        <is>
          <t>Planned</t>
        </is>
      </c>
      <c r="AC40" s="2" t="inlineStr">
        <is>
          <t>Planned only; no completion evidence was transferred.</t>
        </is>
      </c>
    </row>
    <row r="41">
      <c r="A41" s="2" t="inlineStr">
        <is>
          <t>ORIG-040</t>
        </is>
      </c>
      <c r="B41" s="2" t="n">
        <v>41</v>
      </c>
      <c r="C41" s="2" t="inlineStr">
        <is>
          <t>Thiết kế Database</t>
        </is>
      </c>
      <c r="D41" s="2" t="n"/>
      <c r="E41" s="2" t="inlineStr">
        <is>
          <t>Kiểm tra trùng ghế</t>
        </is>
      </c>
      <c r="F41" s="2" t="inlineStr">
        <is>
          <t>Một ghế không thể bán cho hai khách trong cùng suất</t>
        </is>
      </c>
      <c r="G41" s="2" t="inlineStr">
        <is>
          <t>Bắt buộc</t>
        </is>
      </c>
      <c r="H41" s="2" t="inlineStr">
        <is>
          <t>Sprint 2</t>
        </is>
      </c>
      <c r="I41" s="2" t="inlineStr">
        <is>
          <t>Nền tảng dữ liệu cho các nghiệp vụ cốt lõi.</t>
        </is>
      </c>
      <c r="J41" s="2" t="inlineStr">
        <is>
          <t>PH-02</t>
        </is>
      </c>
      <c r="K41" s="2" t="inlineStr">
        <is>
          <t>Solution Design &amp; Foundations</t>
        </is>
      </c>
      <c r="L41" s="2" t="inlineStr">
        <is>
          <t>CIN-T-006</t>
        </is>
      </c>
      <c r="M41" s="2" t="inlineStr">
        <is>
          <t>Xác định quan hệ, ràng buộc và tính toàn vẹn dữ liệu</t>
        </is>
      </c>
      <c r="N41" s="2" t="inlineStr">
        <is>
          <t>24120244</t>
        </is>
      </c>
      <c r="O41" s="2" t="inlineStr">
        <is>
          <t>Phan Van Viet</t>
        </is>
      </c>
      <c r="P41" s="2" t="inlineStr">
        <is>
          <t>CIN-SUB-040</t>
        </is>
      </c>
      <c r="Q41" s="2" t="inlineStr">
        <is>
          <t>Sprint 2</t>
        </is>
      </c>
      <c r="R41" s="2" t="inlineStr">
        <is>
          <t>24120235</t>
        </is>
      </c>
      <c r="S41" s="2" t="inlineStr">
        <is>
          <t>Huynh Thanh Tu</t>
        </is>
      </c>
      <c r="T41" s="3" t="n">
        <v>46312</v>
      </c>
      <c r="U41" s="3" t="n">
        <v>46325</v>
      </c>
      <c r="V41" s="2" t="n">
        <v>3</v>
      </c>
      <c r="W41" s="2" t="inlineStr">
        <is>
          <t>High</t>
        </is>
      </c>
      <c r="X41" s="2" t="inlineStr">
        <is>
          <t>Database Design</t>
        </is>
      </c>
      <c r="Y41" s="2" t="inlineStr">
        <is>
          <t>CIN-T-005</t>
        </is>
      </c>
      <c r="Z41" s="2" t="inlineStr">
        <is>
          <t>Hoàn tất kết quả gốc: Một ghế không thể bán cho hai khách trong cùng suất.</t>
        </is>
      </c>
      <c r="AA41" s="2" t="inlineStr">
        <is>
          <t>Kết quả gốc được kiểm tra và có bằng chứng gắn với CIN-SUB-040; ngoại lệ được ghi rõ.</t>
        </is>
      </c>
      <c r="AB41" s="2" t="inlineStr">
        <is>
          <t>Planned</t>
        </is>
      </c>
      <c r="AC41" s="2" t="inlineStr">
        <is>
          <t>Planned only; no completion evidence was transferred.</t>
        </is>
      </c>
    </row>
    <row r="42">
      <c r="A42" s="2" t="inlineStr">
        <is>
          <t>ORIG-041</t>
        </is>
      </c>
      <c r="B42" s="2" t="n">
        <v>42</v>
      </c>
      <c r="C42" s="2" t="inlineStr">
        <is>
          <t>Thiết kế Database</t>
        </is>
      </c>
      <c r="D42" s="2" t="n"/>
      <c r="E42" s="2" t="inlineStr">
        <is>
          <t>Thiết kế trạng thái</t>
        </is>
      </c>
      <c r="F42" s="2" t="inlineStr">
        <is>
          <t>Movie, Showtime, Seat, Booking, Ticket, Payment</t>
        </is>
      </c>
      <c r="G42" s="2" t="inlineStr">
        <is>
          <t>Bắt buộc</t>
        </is>
      </c>
      <c r="H42" s="2" t="inlineStr">
        <is>
          <t>Sprint 2</t>
        </is>
      </c>
      <c r="I42" s="2" t="inlineStr">
        <is>
          <t>Nền tảng dữ liệu cho các nghiệp vụ cốt lõi.</t>
        </is>
      </c>
      <c r="J42" s="2" t="inlineStr">
        <is>
          <t>PH-02</t>
        </is>
      </c>
      <c r="K42" s="2" t="inlineStr">
        <is>
          <t>Solution Design &amp; Foundations</t>
        </is>
      </c>
      <c r="L42" s="2" t="inlineStr">
        <is>
          <t>CIN-T-006</t>
        </is>
      </c>
      <c r="M42" s="2" t="inlineStr">
        <is>
          <t>Xác định quan hệ, ràng buộc và tính toàn vẹn dữ liệu</t>
        </is>
      </c>
      <c r="N42" s="2" t="inlineStr">
        <is>
          <t>24120244</t>
        </is>
      </c>
      <c r="O42" s="2" t="inlineStr">
        <is>
          <t>Phan Van Viet</t>
        </is>
      </c>
      <c r="P42" s="2" t="inlineStr">
        <is>
          <t>CIN-SUB-041</t>
        </is>
      </c>
      <c r="Q42" s="2" t="inlineStr">
        <is>
          <t>Sprint 2</t>
        </is>
      </c>
      <c r="R42" s="2" t="inlineStr">
        <is>
          <t>24120255</t>
        </is>
      </c>
      <c r="S42" s="2" t="inlineStr">
        <is>
          <t>Tran Thien An</t>
        </is>
      </c>
      <c r="T42" s="3" t="n">
        <v>46312</v>
      </c>
      <c r="U42" s="3" t="n">
        <v>46325</v>
      </c>
      <c r="V42" s="2" t="n">
        <v>3</v>
      </c>
      <c r="W42" s="2" t="inlineStr">
        <is>
          <t>High</t>
        </is>
      </c>
      <c r="X42" s="2" t="inlineStr">
        <is>
          <t>Database Design</t>
        </is>
      </c>
      <c r="Y42" s="2" t="inlineStr">
        <is>
          <t>CIN-T-005</t>
        </is>
      </c>
      <c r="Z42" s="2" t="inlineStr">
        <is>
          <t>Hoàn tất kết quả gốc: Movie, Showtime, Seat, Booking, Ticket, Payment.</t>
        </is>
      </c>
      <c r="AA42" s="2" t="inlineStr">
        <is>
          <t>Kết quả gốc được kiểm tra và có bằng chứng gắn với CIN-SUB-041; ngoại lệ được ghi rõ.</t>
        </is>
      </c>
      <c r="AB42" s="2" t="inlineStr">
        <is>
          <t>Planned</t>
        </is>
      </c>
      <c r="AC42" s="2" t="inlineStr">
        <is>
          <t>Planned only; no completion evidence was transferred.</t>
        </is>
      </c>
    </row>
    <row r="43">
      <c r="A43" s="2" t="inlineStr">
        <is>
          <t>ORIG-042</t>
        </is>
      </c>
      <c r="B43" s="2" t="n">
        <v>43</v>
      </c>
      <c r="C43" s="2" t="inlineStr">
        <is>
          <t>Thiết kế Database</t>
        </is>
      </c>
      <c r="D43" s="2" t="n"/>
      <c r="E43" s="2" t="inlineStr">
        <is>
          <t>Thiết kế quy tắc xóa</t>
        </is>
      </c>
      <c r="F43" s="2" t="inlineStr">
        <is>
          <t>Restrict / Cascade / Soft Delete</t>
        </is>
      </c>
      <c r="G43" s="2" t="inlineStr">
        <is>
          <t>Bắt buộc</t>
        </is>
      </c>
      <c r="H43" s="2" t="inlineStr">
        <is>
          <t>Sprint 2</t>
        </is>
      </c>
      <c r="I43" s="2" t="inlineStr">
        <is>
          <t>Nền tảng dữ liệu cho các nghiệp vụ cốt lõi.</t>
        </is>
      </c>
      <c r="J43" s="2" t="inlineStr">
        <is>
          <t>PH-02</t>
        </is>
      </c>
      <c r="K43" s="2" t="inlineStr">
        <is>
          <t>Solution Design &amp; Foundations</t>
        </is>
      </c>
      <c r="L43" s="2" t="inlineStr">
        <is>
          <t>CIN-T-006</t>
        </is>
      </c>
      <c r="M43" s="2" t="inlineStr">
        <is>
          <t>Xác định quan hệ, ràng buộc và tính toàn vẹn dữ liệu</t>
        </is>
      </c>
      <c r="N43" s="2" t="inlineStr">
        <is>
          <t>24120244</t>
        </is>
      </c>
      <c r="O43" s="2" t="inlineStr">
        <is>
          <t>Phan Van Viet</t>
        </is>
      </c>
      <c r="P43" s="2" t="inlineStr">
        <is>
          <t>CIN-SUB-042</t>
        </is>
      </c>
      <c r="Q43" s="2" t="inlineStr">
        <is>
          <t>Sprint 2</t>
        </is>
      </c>
      <c r="R43" s="2" t="inlineStr">
        <is>
          <t>24120271</t>
        </is>
      </c>
      <c r="S43" s="2" t="inlineStr">
        <is>
          <t>Nguyen Trung Chinh</t>
        </is>
      </c>
      <c r="T43" s="3" t="n">
        <v>46312</v>
      </c>
      <c r="U43" s="3" t="n">
        <v>46325</v>
      </c>
      <c r="V43" s="2" t="n">
        <v>2</v>
      </c>
      <c r="W43" s="2" t="inlineStr">
        <is>
          <t>High</t>
        </is>
      </c>
      <c r="X43" s="2" t="inlineStr">
        <is>
          <t>Database Design</t>
        </is>
      </c>
      <c r="Y43" s="2" t="inlineStr">
        <is>
          <t>CIN-T-005</t>
        </is>
      </c>
      <c r="Z43" s="2" t="inlineStr">
        <is>
          <t>Hoàn tất kết quả gốc: Restrict / Cascade / Soft Delete.</t>
        </is>
      </c>
      <c r="AA43" s="2" t="inlineStr">
        <is>
          <t>Kết quả gốc được kiểm tra và có bằng chứng gắn với CIN-SUB-042; ngoại lệ được ghi rõ.</t>
        </is>
      </c>
      <c r="AB43" s="2" t="inlineStr">
        <is>
          <t>Planned</t>
        </is>
      </c>
      <c r="AC43" s="2" t="inlineStr">
        <is>
          <t>Planned only; no completion evidence was transferred.</t>
        </is>
      </c>
    </row>
    <row r="44">
      <c r="A44" s="2" t="inlineStr">
        <is>
          <t>ORIG-043</t>
        </is>
      </c>
      <c r="B44" s="2" t="n">
        <v>44</v>
      </c>
      <c r="C44" s="2" t="inlineStr">
        <is>
          <t>Thiết kế Database</t>
        </is>
      </c>
      <c r="D44" s="2" t="n"/>
      <c r="E44" s="2" t="inlineStr">
        <is>
          <t>Chuẩn hóa Database</t>
        </is>
      </c>
      <c r="F44" s="2" t="inlineStr">
        <is>
          <t>Giảm dư thừa dữ liệu</t>
        </is>
      </c>
      <c r="G44" s="2" t="inlineStr">
        <is>
          <t>Bắt buộc</t>
        </is>
      </c>
      <c r="H44" s="2" t="inlineStr">
        <is>
          <t>Sprint 2</t>
        </is>
      </c>
      <c r="I44" s="2" t="inlineStr">
        <is>
          <t>Nền tảng dữ liệu cho các nghiệp vụ cốt lõi.</t>
        </is>
      </c>
      <c r="J44" s="2" t="inlineStr">
        <is>
          <t>PH-02</t>
        </is>
      </c>
      <c r="K44" s="2" t="inlineStr">
        <is>
          <t>Solution Design &amp; Foundations</t>
        </is>
      </c>
      <c r="L44" s="2" t="inlineStr">
        <is>
          <t>CIN-T-006</t>
        </is>
      </c>
      <c r="M44" s="2" t="inlineStr">
        <is>
          <t>Xác định quan hệ, ràng buộc và tính toàn vẹn dữ liệu</t>
        </is>
      </c>
      <c r="N44" s="2" t="inlineStr">
        <is>
          <t>24120244</t>
        </is>
      </c>
      <c r="O44" s="2" t="inlineStr">
        <is>
          <t>Phan Van Viet</t>
        </is>
      </c>
      <c r="P44" s="2" t="inlineStr">
        <is>
          <t>CIN-SUB-043</t>
        </is>
      </c>
      <c r="Q44" s="2" t="inlineStr">
        <is>
          <t>Sprint 2</t>
        </is>
      </c>
      <c r="R44" s="2" t="inlineStr">
        <is>
          <t>24120098</t>
        </is>
      </c>
      <c r="S44" s="2" t="inlineStr">
        <is>
          <t>Nguyen Quoc Nam</t>
        </is>
      </c>
      <c r="T44" s="3" t="n">
        <v>46312</v>
      </c>
      <c r="U44" s="3" t="n">
        <v>46325</v>
      </c>
      <c r="V44" s="2" t="n">
        <v>3</v>
      </c>
      <c r="W44" s="2" t="inlineStr">
        <is>
          <t>High</t>
        </is>
      </c>
      <c r="X44" s="2" t="inlineStr">
        <is>
          <t>Database Design</t>
        </is>
      </c>
      <c r="Y44" s="2" t="inlineStr">
        <is>
          <t>CIN-T-005</t>
        </is>
      </c>
      <c r="Z44" s="2" t="inlineStr">
        <is>
          <t>Hoàn tất kết quả gốc: Giảm dư thừa dữ liệu.</t>
        </is>
      </c>
      <c r="AA44" s="2" t="inlineStr">
        <is>
          <t>Kết quả gốc được kiểm tra và có bằng chứng gắn với CIN-SUB-043; ngoại lệ được ghi rõ.</t>
        </is>
      </c>
      <c r="AB44" s="2" t="inlineStr">
        <is>
          <t>Planned</t>
        </is>
      </c>
      <c r="AC44" s="2" t="inlineStr">
        <is>
          <t>Planned only; no completion evidence was transferred.</t>
        </is>
      </c>
    </row>
    <row r="45">
      <c r="A45" s="2" t="inlineStr">
        <is>
          <t>ORIG-044</t>
        </is>
      </c>
      <c r="B45" s="2" t="n">
        <v>45</v>
      </c>
      <c r="C45" s="2" t="inlineStr">
        <is>
          <t>Thiết kế Database</t>
        </is>
      </c>
      <c r="D45" s="2" t="n"/>
      <c r="E45" s="2" t="inlineStr">
        <is>
          <t>Kiểm tra Index</t>
        </is>
      </c>
      <c r="F45" s="2" t="inlineStr">
        <is>
          <t>Index cho các trường thường tìm kiếm</t>
        </is>
      </c>
      <c r="G45" s="2" t="inlineStr">
        <is>
          <t>Bắt buộc</t>
        </is>
      </c>
      <c r="H45" s="2" t="inlineStr">
        <is>
          <t>Sprint 2</t>
        </is>
      </c>
      <c r="I45" s="2" t="inlineStr">
        <is>
          <t>Nền tảng dữ liệu cho các nghiệp vụ cốt lõi.</t>
        </is>
      </c>
      <c r="J45" s="2" t="inlineStr">
        <is>
          <t>PH-02</t>
        </is>
      </c>
      <c r="K45" s="2" t="inlineStr">
        <is>
          <t>Solution Design &amp; Foundations</t>
        </is>
      </c>
      <c r="L45" s="2" t="inlineStr">
        <is>
          <t>CIN-T-006</t>
        </is>
      </c>
      <c r="M45" s="2" t="inlineStr">
        <is>
          <t>Xác định quan hệ, ràng buộc và tính toàn vẹn dữ liệu</t>
        </is>
      </c>
      <c r="N45" s="2" t="inlineStr">
        <is>
          <t>24120244</t>
        </is>
      </c>
      <c r="O45" s="2" t="inlineStr">
        <is>
          <t>Phan Van Viet</t>
        </is>
      </c>
      <c r="P45" s="2" t="inlineStr">
        <is>
          <t>CIN-SUB-044</t>
        </is>
      </c>
      <c r="Q45" s="2" t="inlineStr">
        <is>
          <t>Sprint 2</t>
        </is>
      </c>
      <c r="R45" s="2" t="inlineStr">
        <is>
          <t>24120244</t>
        </is>
      </c>
      <c r="S45" s="2" t="inlineStr">
        <is>
          <t>Phan Van Viet</t>
        </is>
      </c>
      <c r="T45" s="3" t="n">
        <v>46312</v>
      </c>
      <c r="U45" s="3" t="n">
        <v>46325</v>
      </c>
      <c r="V45" s="2" t="n">
        <v>2</v>
      </c>
      <c r="W45" s="2" t="inlineStr">
        <is>
          <t>High</t>
        </is>
      </c>
      <c r="X45" s="2" t="inlineStr">
        <is>
          <t>Database Design</t>
        </is>
      </c>
      <c r="Y45" s="2" t="inlineStr">
        <is>
          <t>CIN-T-005</t>
        </is>
      </c>
      <c r="Z45" s="2" t="inlineStr">
        <is>
          <t>Hoàn tất kết quả gốc: Index cho các trường thường tìm kiếm.</t>
        </is>
      </c>
      <c r="AA45" s="2" t="inlineStr">
        <is>
          <t>Kết quả gốc được kiểm tra và có bằng chứng gắn với CIN-SUB-044; ngoại lệ được ghi rõ.</t>
        </is>
      </c>
      <c r="AB45" s="2" t="inlineStr">
        <is>
          <t>Planned</t>
        </is>
      </c>
      <c r="AC45" s="2" t="inlineStr">
        <is>
          <t>Planned only; no completion evidence was transferred.</t>
        </is>
      </c>
    </row>
    <row r="46">
      <c r="A46" s="2" t="inlineStr">
        <is>
          <t>ORIG-045</t>
        </is>
      </c>
      <c r="B46" s="2" t="n">
        <v>46</v>
      </c>
      <c r="C46" s="2" t="inlineStr">
        <is>
          <t>Thiết kế Database</t>
        </is>
      </c>
      <c r="D46" s="2" t="n"/>
      <c r="E46" s="2" t="inlineStr">
        <is>
          <t>Vẽ ERD</t>
        </is>
      </c>
      <c r="F46" s="2" t="inlineStr">
        <is>
          <t>Hoàn thiện Entity Relationship Diagram</t>
        </is>
      </c>
      <c r="G46" s="2" t="inlineStr">
        <is>
          <t>Bắt buộc</t>
        </is>
      </c>
      <c r="H46" s="2" t="inlineStr">
        <is>
          <t>Sprint 2</t>
        </is>
      </c>
      <c r="I46" s="2" t="inlineStr">
        <is>
          <t>Nền tảng dữ liệu cho các nghiệp vụ cốt lõi.</t>
        </is>
      </c>
      <c r="J46" s="2" t="inlineStr">
        <is>
          <t>PH-02</t>
        </is>
      </c>
      <c r="K46" s="2" t="inlineStr">
        <is>
          <t>Solution Design &amp; Foundations</t>
        </is>
      </c>
      <c r="L46" s="2" t="inlineStr">
        <is>
          <t>CIN-T-007</t>
        </is>
      </c>
      <c r="M46" s="2" t="inlineStr">
        <is>
          <t>Hoàn tất ERD và relational schema</t>
        </is>
      </c>
      <c r="N46" s="2" t="inlineStr">
        <is>
          <t>24120271</t>
        </is>
      </c>
      <c r="O46" s="2" t="inlineStr">
        <is>
          <t>Nguyen Trung Chinh</t>
        </is>
      </c>
      <c r="P46" s="2" t="inlineStr">
        <is>
          <t>CIN-SUB-045</t>
        </is>
      </c>
      <c r="Q46" s="2" t="inlineStr">
        <is>
          <t>Sprint 2</t>
        </is>
      </c>
      <c r="R46" s="2" t="inlineStr">
        <is>
          <t>24120271</t>
        </is>
      </c>
      <c r="S46" s="2" t="inlineStr">
        <is>
          <t>Nguyen Trung Chinh</t>
        </is>
      </c>
      <c r="T46" s="3" t="n">
        <v>46312</v>
      </c>
      <c r="U46" s="3" t="n">
        <v>46325</v>
      </c>
      <c r="V46" s="2" t="n">
        <v>3</v>
      </c>
      <c r="W46" s="2" t="inlineStr">
        <is>
          <t>High</t>
        </is>
      </c>
      <c r="X46" s="2" t="inlineStr">
        <is>
          <t>Database Design</t>
        </is>
      </c>
      <c r="Y46" s="2" t="inlineStr">
        <is>
          <t>CIN-T-006</t>
        </is>
      </c>
      <c r="Z46" s="2" t="inlineStr">
        <is>
          <t>Hoàn tất kết quả gốc: Hoàn thiện Entity Relationship Diagram.</t>
        </is>
      </c>
      <c r="AA46" s="2" t="inlineStr">
        <is>
          <t>Kết quả gốc được kiểm tra và có bằng chứng gắn với CIN-SUB-045; ngoại lệ được ghi rõ.</t>
        </is>
      </c>
      <c r="AB46" s="2" t="inlineStr">
        <is>
          <t>Planned</t>
        </is>
      </c>
      <c r="AC46" s="2" t="inlineStr">
        <is>
          <t>Planned only; no completion evidence was transferred.</t>
        </is>
      </c>
    </row>
    <row r="47">
      <c r="A47" s="2" t="inlineStr">
        <is>
          <t>ORIG-046</t>
        </is>
      </c>
      <c r="B47" s="2" t="n">
        <v>47</v>
      </c>
      <c r="C47" s="2" t="inlineStr">
        <is>
          <t>Thiết kế Database</t>
        </is>
      </c>
      <c r="D47" s="2" t="n"/>
      <c r="E47" s="2" t="inlineStr">
        <is>
          <t>Hoàn thiện Relational Schema</t>
        </is>
      </c>
      <c r="F47" s="2" t="inlineStr">
        <is>
          <t>Lược đồ quan hệ cuối cùng</t>
        </is>
      </c>
      <c r="G47" s="2" t="inlineStr">
        <is>
          <t>Bắt buộc</t>
        </is>
      </c>
      <c r="H47" s="2" t="inlineStr">
        <is>
          <t>Sprint 2</t>
        </is>
      </c>
      <c r="I47" s="2" t="inlineStr">
        <is>
          <t>Nền tảng dữ liệu cho các nghiệp vụ cốt lõi.</t>
        </is>
      </c>
      <c r="J47" s="2" t="inlineStr">
        <is>
          <t>PH-02</t>
        </is>
      </c>
      <c r="K47" s="2" t="inlineStr">
        <is>
          <t>Solution Design &amp; Foundations</t>
        </is>
      </c>
      <c r="L47" s="2" t="inlineStr">
        <is>
          <t>CIN-T-007</t>
        </is>
      </c>
      <c r="M47" s="2" t="inlineStr">
        <is>
          <t>Hoàn tất ERD và relational schema</t>
        </is>
      </c>
      <c r="N47" s="2" t="inlineStr">
        <is>
          <t>24120271</t>
        </is>
      </c>
      <c r="O47" s="2" t="inlineStr">
        <is>
          <t>Nguyen Trung Chinh</t>
        </is>
      </c>
      <c r="P47" s="2" t="inlineStr">
        <is>
          <t>CIN-SUB-046</t>
        </is>
      </c>
      <c r="Q47" s="2" t="inlineStr">
        <is>
          <t>Sprint 2</t>
        </is>
      </c>
      <c r="R47" s="2" t="inlineStr">
        <is>
          <t>24120235</t>
        </is>
      </c>
      <c r="S47" s="2" t="inlineStr">
        <is>
          <t>Huynh Thanh Tu</t>
        </is>
      </c>
      <c r="T47" s="3" t="n">
        <v>46312</v>
      </c>
      <c r="U47" s="3" t="n">
        <v>46325</v>
      </c>
      <c r="V47" s="2" t="n">
        <v>3</v>
      </c>
      <c r="W47" s="2" t="inlineStr">
        <is>
          <t>High</t>
        </is>
      </c>
      <c r="X47" s="2" t="inlineStr">
        <is>
          <t>Database Design</t>
        </is>
      </c>
      <c r="Y47" s="2" t="inlineStr">
        <is>
          <t>CIN-T-006</t>
        </is>
      </c>
      <c r="Z47" s="2" t="inlineStr">
        <is>
          <t>Hoàn tất kết quả gốc: Lược đồ quan hệ cuối cùng.</t>
        </is>
      </c>
      <c r="AA47" s="2" t="inlineStr">
        <is>
          <t>Kết quả gốc được kiểm tra và có bằng chứng gắn với CIN-SUB-046; ngoại lệ được ghi rõ.</t>
        </is>
      </c>
      <c r="AB47" s="2" t="inlineStr">
        <is>
          <t>Planned</t>
        </is>
      </c>
      <c r="AC47" s="2" t="inlineStr">
        <is>
          <t>Planned only; no completion evidence was transferred.</t>
        </is>
      </c>
    </row>
    <row r="48">
      <c r="A48" s="2" t="inlineStr">
        <is>
          <t>ORIG-047</t>
        </is>
      </c>
      <c r="B48" s="2" t="n">
        <v>48</v>
      </c>
      <c r="C48" s="2" t="inlineStr">
        <is>
          <t>Customer Web – Foundation</t>
        </is>
      </c>
      <c r="D48" s="2" t="inlineStr">
        <is>
          <t>Chốt cấu trúc FE trước khi code</t>
        </is>
      </c>
      <c r="E48" s="2" t="inlineStr">
        <is>
          <t>Xác định Customer User Flow</t>
        </is>
      </c>
      <c r="F48" s="2" t="inlineStr">
        <is>
          <t>Home → Movie Detail → Showtime → Seat Selection → Ticket Type → Booking Confirmation → Payment → Payment Result → My Tickets</t>
        </is>
      </c>
      <c r="G48" s="2" t="inlineStr">
        <is>
          <t>Bắt buộc</t>
        </is>
      </c>
      <c r="H48" s="2" t="inlineStr">
        <is>
          <t>Sprint 2</t>
        </is>
      </c>
      <c r="I48" s="2" t="inlineStr">
        <is>
          <t>Layout, navigation và cấu trúc màn hình khách hàng.</t>
        </is>
      </c>
      <c r="J48" s="2" t="inlineStr">
        <is>
          <t>PH-02</t>
        </is>
      </c>
      <c r="K48" s="2" t="inlineStr">
        <is>
          <t>Solution Design &amp; Foundations</t>
        </is>
      </c>
      <c r="L48" s="2" t="inlineStr">
        <is>
          <t>CIN-T-008</t>
        </is>
      </c>
      <c r="M48" s="2" t="inlineStr">
        <is>
          <t>Thiết kế luồng, màn hình và điều hướng Customer</t>
        </is>
      </c>
      <c r="N48" s="2" t="inlineStr">
        <is>
          <t>24120255</t>
        </is>
      </c>
      <c r="O48" s="2" t="inlineStr">
        <is>
          <t>Tran Thien An</t>
        </is>
      </c>
      <c r="P48" s="2" t="inlineStr">
        <is>
          <t>CIN-SUB-047</t>
        </is>
      </c>
      <c r="Q48" s="2" t="inlineStr">
        <is>
          <t>Sprint 2</t>
        </is>
      </c>
      <c r="R48" s="2" t="inlineStr">
        <is>
          <t>24120255</t>
        </is>
      </c>
      <c r="S48" s="2" t="inlineStr">
        <is>
          <t>Tran Thien An</t>
        </is>
      </c>
      <c r="T48" s="3" t="n">
        <v>46312</v>
      </c>
      <c r="U48" s="3" t="n">
        <v>46325</v>
      </c>
      <c r="V48" s="2" t="n">
        <v>3</v>
      </c>
      <c r="W48" s="2" t="inlineStr">
        <is>
          <t>High</t>
        </is>
      </c>
      <c r="X48" s="2" t="inlineStr">
        <is>
          <t>UX / UI Design</t>
        </is>
      </c>
      <c r="Y48" s="2" t="inlineStr">
        <is>
          <t>CIN-T-003</t>
        </is>
      </c>
      <c r="Z48" s="2" t="inlineStr">
        <is>
          <t>Hoàn tất kết quả gốc: Home → Movie Detail → Showtime → Seat Selection → Ticket Type → Booking Confirmation → Payment → Payment Result → My Tickets.</t>
        </is>
      </c>
      <c r="AA48" s="2" t="inlineStr">
        <is>
          <t>Kết quả gốc được kiểm tra và có bằng chứng gắn với CIN-SUB-047; ngoại lệ được ghi rõ.</t>
        </is>
      </c>
      <c r="AB48" s="2" t="inlineStr">
        <is>
          <t>Planned</t>
        </is>
      </c>
      <c r="AC48" s="2" t="inlineStr">
        <is>
          <t>Planned only; no completion evidence was transferred.</t>
        </is>
      </c>
    </row>
    <row r="49">
      <c r="A49" s="2" t="inlineStr">
        <is>
          <t>ORIG-048</t>
        </is>
      </c>
      <c r="B49" s="2" t="n">
        <v>49</v>
      </c>
      <c r="C49" s="2" t="inlineStr">
        <is>
          <t>Customer Web – Foundation</t>
        </is>
      </c>
      <c r="D49" s="2" t="n"/>
      <c r="E49" s="2" t="inlineStr">
        <is>
          <t>Xác định danh sách màn hình Customer</t>
        </is>
      </c>
      <c r="F49" s="2" t="inlineStr">
        <is>
          <t>Xác định toàn bộ màn hình cần có cho Customer</t>
        </is>
      </c>
      <c r="G49" s="2" t="inlineStr">
        <is>
          <t>Bắt buộc</t>
        </is>
      </c>
      <c r="H49" s="2" t="inlineStr">
        <is>
          <t>Sprint 2</t>
        </is>
      </c>
      <c r="I49" s="2" t="inlineStr">
        <is>
          <t>Layout, navigation và cấu trúc màn hình khách hàng.</t>
        </is>
      </c>
      <c r="J49" s="2" t="inlineStr">
        <is>
          <t>PH-02</t>
        </is>
      </c>
      <c r="K49" s="2" t="inlineStr">
        <is>
          <t>Solution Design &amp; Foundations</t>
        </is>
      </c>
      <c r="L49" s="2" t="inlineStr">
        <is>
          <t>CIN-T-008</t>
        </is>
      </c>
      <c r="M49" s="2" t="inlineStr">
        <is>
          <t>Thiết kế luồng, màn hình và điều hướng Customer</t>
        </is>
      </c>
      <c r="N49" s="2" t="inlineStr">
        <is>
          <t>24120255</t>
        </is>
      </c>
      <c r="O49" s="2" t="inlineStr">
        <is>
          <t>Tran Thien An</t>
        </is>
      </c>
      <c r="P49" s="2" t="inlineStr">
        <is>
          <t>CIN-SUB-048</t>
        </is>
      </c>
      <c r="Q49" s="2" t="inlineStr">
        <is>
          <t>Sprint 2</t>
        </is>
      </c>
      <c r="R49" s="2" t="inlineStr">
        <is>
          <t>24120244</t>
        </is>
      </c>
      <c r="S49" s="2" t="inlineStr">
        <is>
          <t>Phan Van Viet</t>
        </is>
      </c>
      <c r="T49" s="3" t="n">
        <v>46312</v>
      </c>
      <c r="U49" s="3" t="n">
        <v>46325</v>
      </c>
      <c r="V49" s="2" t="n">
        <v>2</v>
      </c>
      <c r="W49" s="2" t="inlineStr">
        <is>
          <t>High</t>
        </is>
      </c>
      <c r="X49" s="2" t="inlineStr">
        <is>
          <t>UX / UI Design</t>
        </is>
      </c>
      <c r="Y49" s="2" t="inlineStr">
        <is>
          <t>CIN-T-003</t>
        </is>
      </c>
      <c r="Z49" s="2" t="inlineStr">
        <is>
          <t>Hoàn tất kết quả gốc: Xác định toàn bộ màn hình cần có cho Customer.</t>
        </is>
      </c>
      <c r="AA49" s="2" t="inlineStr">
        <is>
          <t>Kết quả gốc được kiểm tra và có bằng chứng gắn với CIN-SUB-048; ngoại lệ được ghi rõ.</t>
        </is>
      </c>
      <c r="AB49" s="2" t="inlineStr">
        <is>
          <t>Planned</t>
        </is>
      </c>
      <c r="AC49" s="2" t="inlineStr">
        <is>
          <t>Planned only; no completion evidence was transferred.</t>
        </is>
      </c>
    </row>
    <row r="50">
      <c r="A50" s="2" t="inlineStr">
        <is>
          <t>ORIG-049</t>
        </is>
      </c>
      <c r="B50" s="2" t="n">
        <v>50</v>
      </c>
      <c r="C50" s="2" t="inlineStr">
        <is>
          <t>Customer Web – Foundation</t>
        </is>
      </c>
      <c r="D50" s="2" t="n"/>
      <c r="E50" s="2" t="inlineStr">
        <is>
          <t>Web Layout</t>
        </is>
      </c>
      <c r="F50" s="2" t="inlineStr">
        <is>
          <t>Header, Footer, Navigation, Responsive</t>
        </is>
      </c>
      <c r="G50" s="2" t="inlineStr">
        <is>
          <t>Bắt buộc</t>
        </is>
      </c>
      <c r="H50" s="2" t="inlineStr">
        <is>
          <t>Sprint 2</t>
        </is>
      </c>
      <c r="I50" s="2" t="inlineStr">
        <is>
          <t>Layout, navigation và cấu trúc màn hình khách hàng.</t>
        </is>
      </c>
      <c r="J50" s="2" t="inlineStr">
        <is>
          <t>PH-02</t>
        </is>
      </c>
      <c r="K50" s="2" t="inlineStr">
        <is>
          <t>Solution Design &amp; Foundations</t>
        </is>
      </c>
      <c r="L50" s="2" t="inlineStr">
        <is>
          <t>CIN-T-008</t>
        </is>
      </c>
      <c r="M50" s="2" t="inlineStr">
        <is>
          <t>Thiết kế luồng, màn hình và điều hướng Customer</t>
        </is>
      </c>
      <c r="N50" s="2" t="inlineStr">
        <is>
          <t>24120255</t>
        </is>
      </c>
      <c r="O50" s="2" t="inlineStr">
        <is>
          <t>Tran Thien An</t>
        </is>
      </c>
      <c r="P50" s="2" t="inlineStr">
        <is>
          <t>CIN-SUB-049</t>
        </is>
      </c>
      <c r="Q50" s="2" t="inlineStr">
        <is>
          <t>Sprint 2</t>
        </is>
      </c>
      <c r="R50" s="2" t="inlineStr">
        <is>
          <t>24120098</t>
        </is>
      </c>
      <c r="S50" s="2" t="inlineStr">
        <is>
          <t>Nguyen Quoc Nam</t>
        </is>
      </c>
      <c r="T50" s="3" t="n">
        <v>46312</v>
      </c>
      <c r="U50" s="3" t="n">
        <v>46325</v>
      </c>
      <c r="V50" s="2" t="n">
        <v>3</v>
      </c>
      <c r="W50" s="2" t="inlineStr">
        <is>
          <t>High</t>
        </is>
      </c>
      <c r="X50" s="2" t="inlineStr">
        <is>
          <t>UX / UI Design</t>
        </is>
      </c>
      <c r="Y50" s="2" t="inlineStr">
        <is>
          <t>CIN-T-003</t>
        </is>
      </c>
      <c r="Z50" s="2" t="inlineStr">
        <is>
          <t>Hoàn tất kết quả gốc: Header, Footer, Navigation, Responsive.</t>
        </is>
      </c>
      <c r="AA50" s="2" t="inlineStr">
        <is>
          <t>Kết quả gốc được kiểm tra và có bằng chứng gắn với CIN-SUB-049; ngoại lệ được ghi rõ.</t>
        </is>
      </c>
      <c r="AB50" s="2" t="inlineStr">
        <is>
          <t>Planned</t>
        </is>
      </c>
      <c r="AC50" s="2" t="inlineStr">
        <is>
          <t>Planned only; no completion evidence was transferred.</t>
        </is>
      </c>
    </row>
    <row r="51">
      <c r="A51" s="2" t="inlineStr">
        <is>
          <t>ORIG-050</t>
        </is>
      </c>
      <c r="B51" s="2" t="n">
        <v>51</v>
      </c>
      <c r="C51" s="2" t="inlineStr">
        <is>
          <t>Customer Web – Foundation</t>
        </is>
      </c>
      <c r="D51" s="2" t="n"/>
      <c r="E51" s="2" t="inlineStr">
        <is>
          <t>Navigation</t>
        </is>
      </c>
      <c r="F51" s="2" t="inlineStr">
        <is>
          <t>Xác định các menu và đường dẫn giữa các màn hình</t>
        </is>
      </c>
      <c r="G51" s="2" t="inlineStr">
        <is>
          <t>Bắt buộc</t>
        </is>
      </c>
      <c r="H51" s="2" t="inlineStr">
        <is>
          <t>Sprint 2</t>
        </is>
      </c>
      <c r="I51" s="2" t="inlineStr">
        <is>
          <t>Layout, navigation và cấu trúc màn hình khách hàng.</t>
        </is>
      </c>
      <c r="J51" s="2" t="inlineStr">
        <is>
          <t>PH-02</t>
        </is>
      </c>
      <c r="K51" s="2" t="inlineStr">
        <is>
          <t>Solution Design &amp; Foundations</t>
        </is>
      </c>
      <c r="L51" s="2" t="inlineStr">
        <is>
          <t>CIN-T-008</t>
        </is>
      </c>
      <c r="M51" s="2" t="inlineStr">
        <is>
          <t>Thiết kế luồng, màn hình và điều hướng Customer</t>
        </is>
      </c>
      <c r="N51" s="2" t="inlineStr">
        <is>
          <t>24120255</t>
        </is>
      </c>
      <c r="O51" s="2" t="inlineStr">
        <is>
          <t>Tran Thien An</t>
        </is>
      </c>
      <c r="P51" s="2" t="inlineStr">
        <is>
          <t>CIN-SUB-050</t>
        </is>
      </c>
      <c r="Q51" s="2" t="inlineStr">
        <is>
          <t>Sprint 2</t>
        </is>
      </c>
      <c r="R51" s="2" t="inlineStr">
        <is>
          <t>24120271</t>
        </is>
      </c>
      <c r="S51" s="2" t="inlineStr">
        <is>
          <t>Nguyen Trung Chinh</t>
        </is>
      </c>
      <c r="T51" s="3" t="n">
        <v>46312</v>
      </c>
      <c r="U51" s="3" t="n">
        <v>46325</v>
      </c>
      <c r="V51" s="2" t="n">
        <v>2</v>
      </c>
      <c r="W51" s="2" t="inlineStr">
        <is>
          <t>High</t>
        </is>
      </c>
      <c r="X51" s="2" t="inlineStr">
        <is>
          <t>UX / UI Design</t>
        </is>
      </c>
      <c r="Y51" s="2" t="inlineStr">
        <is>
          <t>CIN-T-003</t>
        </is>
      </c>
      <c r="Z51" s="2" t="inlineStr">
        <is>
          <t>Hoàn tất kết quả gốc: Xác định các menu và đường dẫn giữa các màn hình.</t>
        </is>
      </c>
      <c r="AA51" s="2" t="inlineStr">
        <is>
          <t>Kết quả gốc được kiểm tra và có bằng chứng gắn với CIN-SUB-050; ngoại lệ được ghi rõ.</t>
        </is>
      </c>
      <c r="AB51" s="2" t="inlineStr">
        <is>
          <t>Planned</t>
        </is>
      </c>
      <c r="AC51" s="2" t="inlineStr">
        <is>
          <t>Planned only; no completion evidence was transferred.</t>
        </is>
      </c>
    </row>
    <row r="52">
      <c r="A52" s="2" t="inlineStr">
        <is>
          <t>ORIG-051</t>
        </is>
      </c>
      <c r="B52" s="2" t="n">
        <v>52</v>
      </c>
      <c r="C52" s="2" t="inlineStr">
        <is>
          <t>Customer Web – Foundation</t>
        </is>
      </c>
      <c r="D52" s="2" t="n"/>
      <c r="E52" s="2" t="inlineStr">
        <is>
          <t>Trang Home</t>
        </is>
      </c>
      <c r="F52" s="2" t="inlineStr">
        <is>
          <t>Phim đang chiếu / sắp chiếu</t>
        </is>
      </c>
      <c r="G52" s="2" t="inlineStr">
        <is>
          <t>Bắt buộc</t>
        </is>
      </c>
      <c r="H52" s="2" t="inlineStr">
        <is>
          <t>Sprint 2</t>
        </is>
      </c>
      <c r="I52" s="2" t="inlineStr">
        <is>
          <t>Layout, navigation và cấu trúc màn hình khách hàng.</t>
        </is>
      </c>
      <c r="J52" s="2" t="inlineStr">
        <is>
          <t>PH-02</t>
        </is>
      </c>
      <c r="K52" s="2" t="inlineStr">
        <is>
          <t>Solution Design &amp; Foundations</t>
        </is>
      </c>
      <c r="L52" s="2" t="inlineStr">
        <is>
          <t>CIN-T-009</t>
        </is>
      </c>
      <c r="M52" s="2" t="inlineStr">
        <is>
          <t>Đặc tả các màn hình Customer</t>
        </is>
      </c>
      <c r="N52" s="2" t="inlineStr">
        <is>
          <t>24120244</t>
        </is>
      </c>
      <c r="O52" s="2" t="inlineStr">
        <is>
          <t>Phan Van Viet</t>
        </is>
      </c>
      <c r="P52" s="2" t="inlineStr">
        <is>
          <t>CIN-SUB-051</t>
        </is>
      </c>
      <c r="Q52" s="2" t="inlineStr">
        <is>
          <t>Sprint 2</t>
        </is>
      </c>
      <c r="R52" s="2" t="inlineStr">
        <is>
          <t>24120244</t>
        </is>
      </c>
      <c r="S52" s="2" t="inlineStr">
        <is>
          <t>Phan Van Viet</t>
        </is>
      </c>
      <c r="T52" s="3" t="n">
        <v>46312</v>
      </c>
      <c r="U52" s="3" t="n">
        <v>46325</v>
      </c>
      <c r="V52" s="2" t="n">
        <v>2</v>
      </c>
      <c r="W52" s="2" t="inlineStr">
        <is>
          <t>High</t>
        </is>
      </c>
      <c r="X52" s="2" t="inlineStr">
        <is>
          <t>UX / UI Design</t>
        </is>
      </c>
      <c r="Y52" s="2" t="inlineStr">
        <is>
          <t>CIN-T-008</t>
        </is>
      </c>
      <c r="Z52" s="2" t="inlineStr">
        <is>
          <t>Hoàn tất kết quả gốc: Phim đang chiếu / sắp chiếu.</t>
        </is>
      </c>
      <c r="AA52" s="2" t="inlineStr">
        <is>
          <t>Kết quả gốc được kiểm tra và có bằng chứng gắn với CIN-SUB-051; ngoại lệ được ghi rõ.</t>
        </is>
      </c>
      <c r="AB52" s="2" t="inlineStr">
        <is>
          <t>Planned</t>
        </is>
      </c>
      <c r="AC52" s="2" t="inlineStr">
        <is>
          <t>Planned only; no completion evidence was transferred.</t>
        </is>
      </c>
    </row>
    <row r="53">
      <c r="A53" s="2" t="inlineStr">
        <is>
          <t>ORIG-052</t>
        </is>
      </c>
      <c r="B53" s="2" t="n">
        <v>53</v>
      </c>
      <c r="C53" s="2" t="inlineStr">
        <is>
          <t>Customer Web – Foundation</t>
        </is>
      </c>
      <c r="D53" s="2" t="n"/>
      <c r="E53" s="2" t="inlineStr">
        <is>
          <t>Trang Movie List</t>
        </is>
      </c>
      <c r="F53" s="2" t="inlineStr">
        <is>
          <t>Danh sách phim</t>
        </is>
      </c>
      <c r="G53" s="2" t="inlineStr">
        <is>
          <t>Bắt buộc</t>
        </is>
      </c>
      <c r="H53" s="2" t="inlineStr">
        <is>
          <t>Sprint 2</t>
        </is>
      </c>
      <c r="I53" s="2" t="inlineStr">
        <is>
          <t>Layout, navigation và cấu trúc màn hình khách hàng.</t>
        </is>
      </c>
      <c r="J53" s="2" t="inlineStr">
        <is>
          <t>PH-02</t>
        </is>
      </c>
      <c r="K53" s="2" t="inlineStr">
        <is>
          <t>Solution Design &amp; Foundations</t>
        </is>
      </c>
      <c r="L53" s="2" t="inlineStr">
        <is>
          <t>CIN-T-009</t>
        </is>
      </c>
      <c r="M53" s="2" t="inlineStr">
        <is>
          <t>Đặc tả các màn hình Customer</t>
        </is>
      </c>
      <c r="N53" s="2" t="inlineStr">
        <is>
          <t>24120244</t>
        </is>
      </c>
      <c r="O53" s="2" t="inlineStr">
        <is>
          <t>Phan Van Viet</t>
        </is>
      </c>
      <c r="P53" s="2" t="inlineStr">
        <is>
          <t>CIN-SUB-052</t>
        </is>
      </c>
      <c r="Q53" s="2" t="inlineStr">
        <is>
          <t>Sprint 2</t>
        </is>
      </c>
      <c r="R53" s="2" t="inlineStr">
        <is>
          <t>24120235</t>
        </is>
      </c>
      <c r="S53" s="2" t="inlineStr">
        <is>
          <t>Huynh Thanh Tu</t>
        </is>
      </c>
      <c r="T53" s="3" t="n">
        <v>46312</v>
      </c>
      <c r="U53" s="3" t="n">
        <v>46325</v>
      </c>
      <c r="V53" s="2" t="n">
        <v>2</v>
      </c>
      <c r="W53" s="2" t="inlineStr">
        <is>
          <t>High</t>
        </is>
      </c>
      <c r="X53" s="2" t="inlineStr">
        <is>
          <t>UX / UI Design</t>
        </is>
      </c>
      <c r="Y53" s="2" t="inlineStr">
        <is>
          <t>CIN-T-008</t>
        </is>
      </c>
      <c r="Z53" s="2" t="inlineStr">
        <is>
          <t>Hoàn tất kết quả gốc: Danh sách phim.</t>
        </is>
      </c>
      <c r="AA53" s="2" t="inlineStr">
        <is>
          <t>Kết quả gốc được kiểm tra và có bằng chứng gắn với CIN-SUB-052; ngoại lệ được ghi rõ.</t>
        </is>
      </c>
      <c r="AB53" s="2" t="inlineStr">
        <is>
          <t>Planned</t>
        </is>
      </c>
      <c r="AC53" s="2" t="inlineStr">
        <is>
          <t>Planned only; no completion evidence was transferred.</t>
        </is>
      </c>
    </row>
    <row r="54">
      <c r="A54" s="2" t="inlineStr">
        <is>
          <t>ORIG-053</t>
        </is>
      </c>
      <c r="B54" s="2" t="n">
        <v>54</v>
      </c>
      <c r="C54" s="2" t="inlineStr">
        <is>
          <t>Customer Web – Foundation</t>
        </is>
      </c>
      <c r="D54" s="2" t="n"/>
      <c r="E54" s="2" t="inlineStr">
        <is>
          <t>Trang Movie Detail</t>
        </is>
      </c>
      <c r="F54" s="2" t="inlineStr">
        <is>
          <t>Thông tin chi tiết phim</t>
        </is>
      </c>
      <c r="G54" s="2" t="inlineStr">
        <is>
          <t>Bắt buộc</t>
        </is>
      </c>
      <c r="H54" s="2" t="inlineStr">
        <is>
          <t>Sprint 2</t>
        </is>
      </c>
      <c r="I54" s="2" t="inlineStr">
        <is>
          <t>Layout, navigation và cấu trúc màn hình khách hàng.</t>
        </is>
      </c>
      <c r="J54" s="2" t="inlineStr">
        <is>
          <t>PH-02</t>
        </is>
      </c>
      <c r="K54" s="2" t="inlineStr">
        <is>
          <t>Solution Design &amp; Foundations</t>
        </is>
      </c>
      <c r="L54" s="2" t="inlineStr">
        <is>
          <t>CIN-T-009</t>
        </is>
      </c>
      <c r="M54" s="2" t="inlineStr">
        <is>
          <t>Đặc tả các màn hình Customer</t>
        </is>
      </c>
      <c r="N54" s="2" t="inlineStr">
        <is>
          <t>24120244</t>
        </is>
      </c>
      <c r="O54" s="2" t="inlineStr">
        <is>
          <t>Phan Van Viet</t>
        </is>
      </c>
      <c r="P54" s="2" t="inlineStr">
        <is>
          <t>CIN-SUB-053</t>
        </is>
      </c>
      <c r="Q54" s="2" t="inlineStr">
        <is>
          <t>Sprint 2</t>
        </is>
      </c>
      <c r="R54" s="2" t="inlineStr">
        <is>
          <t>24120255</t>
        </is>
      </c>
      <c r="S54" s="2" t="inlineStr">
        <is>
          <t>Tran Thien An</t>
        </is>
      </c>
      <c r="T54" s="3" t="n">
        <v>46312</v>
      </c>
      <c r="U54" s="3" t="n">
        <v>46325</v>
      </c>
      <c r="V54" s="2" t="n">
        <v>2</v>
      </c>
      <c r="W54" s="2" t="inlineStr">
        <is>
          <t>High</t>
        </is>
      </c>
      <c r="X54" s="2" t="inlineStr">
        <is>
          <t>UX / UI Design</t>
        </is>
      </c>
      <c r="Y54" s="2" t="inlineStr">
        <is>
          <t>CIN-T-008</t>
        </is>
      </c>
      <c r="Z54" s="2" t="inlineStr">
        <is>
          <t>Hoàn tất kết quả gốc: Thông tin chi tiết phim.</t>
        </is>
      </c>
      <c r="AA54" s="2" t="inlineStr">
        <is>
          <t>Kết quả gốc được kiểm tra và có bằng chứng gắn với CIN-SUB-053; ngoại lệ được ghi rõ.</t>
        </is>
      </c>
      <c r="AB54" s="2" t="inlineStr">
        <is>
          <t>Planned</t>
        </is>
      </c>
      <c r="AC54" s="2" t="inlineStr">
        <is>
          <t>Planned only; no completion evidence was transferred. Conditional/optional; confirm rubric, infrastructure and remaining capacity.</t>
        </is>
      </c>
    </row>
    <row r="55">
      <c r="A55" s="2" t="inlineStr">
        <is>
          <t>ORIG-054</t>
        </is>
      </c>
      <c r="B55" s="2" t="n">
        <v>55</v>
      </c>
      <c r="C55" s="2" t="inlineStr">
        <is>
          <t>Customer Web – Foundation</t>
        </is>
      </c>
      <c r="D55" s="2" t="n"/>
      <c r="E55" s="2" t="inlineStr">
        <is>
          <t>Trang Showtime</t>
        </is>
      </c>
      <c r="F55" s="2" t="inlineStr">
        <is>
          <t>Lịch chiếu theo phim / ngày / rạp</t>
        </is>
      </c>
      <c r="G55" s="2" t="inlineStr">
        <is>
          <t>Bắt buộc</t>
        </is>
      </c>
      <c r="H55" s="2" t="inlineStr">
        <is>
          <t>Sprint 2</t>
        </is>
      </c>
      <c r="I55" s="2" t="inlineStr">
        <is>
          <t>Layout, navigation và cấu trúc màn hình khách hàng.</t>
        </is>
      </c>
      <c r="J55" s="2" t="inlineStr">
        <is>
          <t>PH-02</t>
        </is>
      </c>
      <c r="K55" s="2" t="inlineStr">
        <is>
          <t>Solution Design &amp; Foundations</t>
        </is>
      </c>
      <c r="L55" s="2" t="inlineStr">
        <is>
          <t>CIN-T-009</t>
        </is>
      </c>
      <c r="M55" s="2" t="inlineStr">
        <is>
          <t>Đặc tả các màn hình Customer</t>
        </is>
      </c>
      <c r="N55" s="2" t="inlineStr">
        <is>
          <t>24120244</t>
        </is>
      </c>
      <c r="O55" s="2" t="inlineStr">
        <is>
          <t>Phan Van Viet</t>
        </is>
      </c>
      <c r="P55" s="2" t="inlineStr">
        <is>
          <t>CIN-SUB-054</t>
        </is>
      </c>
      <c r="Q55" s="2" t="inlineStr">
        <is>
          <t>Sprint 2</t>
        </is>
      </c>
      <c r="R55" s="2" t="inlineStr">
        <is>
          <t>24120271</t>
        </is>
      </c>
      <c r="S55" s="2" t="inlineStr">
        <is>
          <t>Nguyen Trung Chinh</t>
        </is>
      </c>
      <c r="T55" s="3" t="n">
        <v>46312</v>
      </c>
      <c r="U55" s="3" t="n">
        <v>46325</v>
      </c>
      <c r="V55" s="2" t="n">
        <v>2</v>
      </c>
      <c r="W55" s="2" t="inlineStr">
        <is>
          <t>High</t>
        </is>
      </c>
      <c r="X55" s="2" t="inlineStr">
        <is>
          <t>UX / UI Design</t>
        </is>
      </c>
      <c r="Y55" s="2" t="inlineStr">
        <is>
          <t>CIN-T-008</t>
        </is>
      </c>
      <c r="Z55" s="2" t="inlineStr">
        <is>
          <t>Hoàn tất kết quả gốc: Lịch chiếu theo phim / ngày / rạp.</t>
        </is>
      </c>
      <c r="AA55" s="2" t="inlineStr">
        <is>
          <t>Kết quả gốc được kiểm tra và có bằng chứng gắn với CIN-SUB-054; ngoại lệ được ghi rõ.</t>
        </is>
      </c>
      <c r="AB55" s="2" t="inlineStr">
        <is>
          <t>Planned</t>
        </is>
      </c>
      <c r="AC55" s="2" t="inlineStr">
        <is>
          <t>Planned only; no completion evidence was transferred.</t>
        </is>
      </c>
    </row>
    <row r="56">
      <c r="A56" s="2" t="inlineStr">
        <is>
          <t>ORIG-055</t>
        </is>
      </c>
      <c r="B56" s="2" t="n">
        <v>56</v>
      </c>
      <c r="C56" s="2" t="inlineStr">
        <is>
          <t>Customer Web – Foundation</t>
        </is>
      </c>
      <c r="D56" s="2" t="n"/>
      <c r="E56" s="2" t="inlineStr">
        <is>
          <t>Trang Seat Selection</t>
        </is>
      </c>
      <c r="F56" s="2" t="inlineStr">
        <is>
          <t>Sơ đồ và trạng thái ghế</t>
        </is>
      </c>
      <c r="G56" s="2" t="inlineStr">
        <is>
          <t>Bắt buộc</t>
        </is>
      </c>
      <c r="H56" s="2" t="inlineStr">
        <is>
          <t>Sprint 2</t>
        </is>
      </c>
      <c r="I56" s="2" t="inlineStr">
        <is>
          <t>Layout, navigation và cấu trúc màn hình khách hàng.</t>
        </is>
      </c>
      <c r="J56" s="2" t="inlineStr">
        <is>
          <t>PH-02</t>
        </is>
      </c>
      <c r="K56" s="2" t="inlineStr">
        <is>
          <t>Solution Design &amp; Foundations</t>
        </is>
      </c>
      <c r="L56" s="2" t="inlineStr">
        <is>
          <t>CIN-T-009</t>
        </is>
      </c>
      <c r="M56" s="2" t="inlineStr">
        <is>
          <t>Đặc tả các màn hình Customer</t>
        </is>
      </c>
      <c r="N56" s="2" t="inlineStr">
        <is>
          <t>24120244</t>
        </is>
      </c>
      <c r="O56" s="2" t="inlineStr">
        <is>
          <t>Phan Van Viet</t>
        </is>
      </c>
      <c r="P56" s="2" t="inlineStr">
        <is>
          <t>CIN-SUB-055</t>
        </is>
      </c>
      <c r="Q56" s="2" t="inlineStr">
        <is>
          <t>Sprint 2</t>
        </is>
      </c>
      <c r="R56" s="2" t="inlineStr">
        <is>
          <t>24120098</t>
        </is>
      </c>
      <c r="S56" s="2" t="inlineStr">
        <is>
          <t>Nguyen Quoc Nam</t>
        </is>
      </c>
      <c r="T56" s="3" t="n">
        <v>46312</v>
      </c>
      <c r="U56" s="3" t="n">
        <v>46325</v>
      </c>
      <c r="V56" s="2" t="n">
        <v>2</v>
      </c>
      <c r="W56" s="2" t="inlineStr">
        <is>
          <t>High</t>
        </is>
      </c>
      <c r="X56" s="2" t="inlineStr">
        <is>
          <t>UX / UI Design</t>
        </is>
      </c>
      <c r="Y56" s="2" t="inlineStr">
        <is>
          <t>CIN-T-008</t>
        </is>
      </c>
      <c r="Z56" s="2" t="inlineStr">
        <is>
          <t>Hoàn tất kết quả gốc: Sơ đồ và trạng thái ghế.</t>
        </is>
      </c>
      <c r="AA56" s="2" t="inlineStr">
        <is>
          <t>Kết quả gốc được kiểm tra và có bằng chứng gắn với CIN-SUB-055; ngoại lệ được ghi rõ.</t>
        </is>
      </c>
      <c r="AB56" s="2" t="inlineStr">
        <is>
          <t>Planned</t>
        </is>
      </c>
      <c r="AC56" s="2" t="inlineStr">
        <is>
          <t>Planned only; no completion evidence was transferred.</t>
        </is>
      </c>
    </row>
    <row r="57">
      <c r="A57" s="2" t="inlineStr">
        <is>
          <t>ORIG-056</t>
        </is>
      </c>
      <c r="B57" s="2" t="n">
        <v>57</v>
      </c>
      <c r="C57" s="2" t="inlineStr">
        <is>
          <t>Customer Web – Foundation</t>
        </is>
      </c>
      <c r="D57" s="2" t="n"/>
      <c r="E57" s="2" t="inlineStr">
        <is>
          <t>Trang Ticket Type</t>
        </is>
      </c>
      <c r="F57" s="2" t="inlineStr">
        <is>
          <t>Chọn loại vé</t>
        </is>
      </c>
      <c r="G57" s="2" t="inlineStr">
        <is>
          <t>Bắt buộc</t>
        </is>
      </c>
      <c r="H57" s="2" t="inlineStr">
        <is>
          <t>Sprint 2</t>
        </is>
      </c>
      <c r="I57" s="2" t="inlineStr">
        <is>
          <t>Layout, navigation và cấu trúc màn hình khách hàng.</t>
        </is>
      </c>
      <c r="J57" s="2" t="inlineStr">
        <is>
          <t>PH-02</t>
        </is>
      </c>
      <c r="K57" s="2" t="inlineStr">
        <is>
          <t>Solution Design &amp; Foundations</t>
        </is>
      </c>
      <c r="L57" s="2" t="inlineStr">
        <is>
          <t>CIN-T-009</t>
        </is>
      </c>
      <c r="M57" s="2" t="inlineStr">
        <is>
          <t>Đặc tả các màn hình Customer</t>
        </is>
      </c>
      <c r="N57" s="2" t="inlineStr">
        <is>
          <t>24120244</t>
        </is>
      </c>
      <c r="O57" s="2" t="inlineStr">
        <is>
          <t>Phan Van Viet</t>
        </is>
      </c>
      <c r="P57" s="2" t="inlineStr">
        <is>
          <t>CIN-SUB-056</t>
        </is>
      </c>
      <c r="Q57" s="2" t="inlineStr">
        <is>
          <t>Sprint 2</t>
        </is>
      </c>
      <c r="R57" s="2" t="inlineStr">
        <is>
          <t>24120244</t>
        </is>
      </c>
      <c r="S57" s="2" t="inlineStr">
        <is>
          <t>Phan Van Viet</t>
        </is>
      </c>
      <c r="T57" s="3" t="n">
        <v>46312</v>
      </c>
      <c r="U57" s="3" t="n">
        <v>46325</v>
      </c>
      <c r="V57" s="2" t="n">
        <v>3</v>
      </c>
      <c r="W57" s="2" t="inlineStr">
        <is>
          <t>High</t>
        </is>
      </c>
      <c r="X57" s="2" t="inlineStr">
        <is>
          <t>UX / UI Design</t>
        </is>
      </c>
      <c r="Y57" s="2" t="inlineStr">
        <is>
          <t>CIN-T-008</t>
        </is>
      </c>
      <c r="Z57" s="2" t="inlineStr">
        <is>
          <t>Hoàn tất kết quả gốc: Chọn loại vé.</t>
        </is>
      </c>
      <c r="AA57" s="2" t="inlineStr">
        <is>
          <t>Kết quả gốc được kiểm tra và có bằng chứng gắn với CIN-SUB-056; ngoại lệ được ghi rõ.</t>
        </is>
      </c>
      <c r="AB57" s="2" t="inlineStr">
        <is>
          <t>Planned</t>
        </is>
      </c>
      <c r="AC57" s="2" t="inlineStr">
        <is>
          <t>Planned only; no completion evidence was transferred.</t>
        </is>
      </c>
    </row>
    <row r="58">
      <c r="A58" s="2" t="inlineStr">
        <is>
          <t>ORIG-057</t>
        </is>
      </c>
      <c r="B58" s="2" t="n">
        <v>58</v>
      </c>
      <c r="C58" s="2" t="inlineStr">
        <is>
          <t>Customer Web – Foundation</t>
        </is>
      </c>
      <c r="D58" s="2" t="n"/>
      <c r="E58" s="2" t="inlineStr">
        <is>
          <t>Trang Booking Confirmation</t>
        </is>
      </c>
      <c r="F58" s="2" t="inlineStr">
        <is>
          <t>Xác nhận phim, suất, ghế, loại vé, tổng tiền</t>
        </is>
      </c>
      <c r="G58" s="2" t="inlineStr">
        <is>
          <t>Bắt buộc</t>
        </is>
      </c>
      <c r="H58" s="2" t="inlineStr">
        <is>
          <t>Sprint 2</t>
        </is>
      </c>
      <c r="I58" s="2" t="inlineStr">
        <is>
          <t>Layout, navigation và cấu trúc màn hình khách hàng.</t>
        </is>
      </c>
      <c r="J58" s="2" t="inlineStr">
        <is>
          <t>PH-02</t>
        </is>
      </c>
      <c r="K58" s="2" t="inlineStr">
        <is>
          <t>Solution Design &amp; Foundations</t>
        </is>
      </c>
      <c r="L58" s="2" t="inlineStr">
        <is>
          <t>CIN-T-009</t>
        </is>
      </c>
      <c r="M58" s="2" t="inlineStr">
        <is>
          <t>Đặc tả các màn hình Customer</t>
        </is>
      </c>
      <c r="N58" s="2" t="inlineStr">
        <is>
          <t>24120244</t>
        </is>
      </c>
      <c r="O58" s="2" t="inlineStr">
        <is>
          <t>Phan Van Viet</t>
        </is>
      </c>
      <c r="P58" s="2" t="inlineStr">
        <is>
          <t>CIN-SUB-057</t>
        </is>
      </c>
      <c r="Q58" s="2" t="inlineStr">
        <is>
          <t>Sprint 2</t>
        </is>
      </c>
      <c r="R58" s="2" t="inlineStr">
        <is>
          <t>24120235</t>
        </is>
      </c>
      <c r="S58" s="2" t="inlineStr">
        <is>
          <t>Huynh Thanh Tu</t>
        </is>
      </c>
      <c r="T58" s="3" t="n">
        <v>46312</v>
      </c>
      <c r="U58" s="3" t="n">
        <v>46325</v>
      </c>
      <c r="V58" s="2" t="n">
        <v>3</v>
      </c>
      <c r="W58" s="2" t="inlineStr">
        <is>
          <t>High</t>
        </is>
      </c>
      <c r="X58" s="2" t="inlineStr">
        <is>
          <t>UX / UI Design</t>
        </is>
      </c>
      <c r="Y58" s="2" t="inlineStr">
        <is>
          <t>CIN-T-008</t>
        </is>
      </c>
      <c r="Z58" s="2" t="inlineStr">
        <is>
          <t>Hoàn tất kết quả gốc: Xác nhận phim, suất, ghế, loại vé, tổng tiền.</t>
        </is>
      </c>
      <c r="AA58" s="2" t="inlineStr">
        <is>
          <t>Kết quả gốc được kiểm tra và có bằng chứng gắn với CIN-SUB-057; ngoại lệ được ghi rõ.</t>
        </is>
      </c>
      <c r="AB58" s="2" t="inlineStr">
        <is>
          <t>Planned</t>
        </is>
      </c>
      <c r="AC58" s="2" t="inlineStr">
        <is>
          <t>Planned only; no completion evidence was transferred.</t>
        </is>
      </c>
    </row>
    <row r="59">
      <c r="A59" s="2" t="inlineStr">
        <is>
          <t>ORIG-058</t>
        </is>
      </c>
      <c r="B59" s="2" t="n">
        <v>59</v>
      </c>
      <c r="C59" s="2" t="inlineStr">
        <is>
          <t>Customer Web – Foundation</t>
        </is>
      </c>
      <c r="D59" s="2" t="n"/>
      <c r="E59" s="2" t="inlineStr">
        <is>
          <t>Trang Payment</t>
        </is>
      </c>
      <c r="F59" s="2" t="inlineStr">
        <is>
          <t>Thanh toán</t>
        </is>
      </c>
      <c r="G59" s="2" t="inlineStr">
        <is>
          <t>Bắt buộc</t>
        </is>
      </c>
      <c r="H59" s="2" t="inlineStr">
        <is>
          <t>Sprint 2</t>
        </is>
      </c>
      <c r="I59" s="2" t="inlineStr">
        <is>
          <t>Layout, navigation và cấu trúc màn hình khách hàng.</t>
        </is>
      </c>
      <c r="J59" s="2" t="inlineStr">
        <is>
          <t>PH-02</t>
        </is>
      </c>
      <c r="K59" s="2" t="inlineStr">
        <is>
          <t>Solution Design &amp; Foundations</t>
        </is>
      </c>
      <c r="L59" s="2" t="inlineStr">
        <is>
          <t>CIN-T-009</t>
        </is>
      </c>
      <c r="M59" s="2" t="inlineStr">
        <is>
          <t>Đặc tả các màn hình Customer</t>
        </is>
      </c>
      <c r="N59" s="2" t="inlineStr">
        <is>
          <t>24120244</t>
        </is>
      </c>
      <c r="O59" s="2" t="inlineStr">
        <is>
          <t>Phan Van Viet</t>
        </is>
      </c>
      <c r="P59" s="2" t="inlineStr">
        <is>
          <t>CIN-SUB-058</t>
        </is>
      </c>
      <c r="Q59" s="2" t="inlineStr">
        <is>
          <t>Sprint 2</t>
        </is>
      </c>
      <c r="R59" s="2" t="inlineStr">
        <is>
          <t>24120255</t>
        </is>
      </c>
      <c r="S59" s="2" t="inlineStr">
        <is>
          <t>Tran Thien An</t>
        </is>
      </c>
      <c r="T59" s="3" t="n">
        <v>46312</v>
      </c>
      <c r="U59" s="3" t="n">
        <v>46325</v>
      </c>
      <c r="V59" s="2" t="n">
        <v>3</v>
      </c>
      <c r="W59" s="2" t="inlineStr">
        <is>
          <t>High</t>
        </is>
      </c>
      <c r="X59" s="2" t="inlineStr">
        <is>
          <t>UX / UI Design</t>
        </is>
      </c>
      <c r="Y59" s="2" t="inlineStr">
        <is>
          <t>CIN-T-008</t>
        </is>
      </c>
      <c r="Z59" s="2" t="inlineStr">
        <is>
          <t>Hoàn tất kết quả gốc: Thanh toán.</t>
        </is>
      </c>
      <c r="AA59" s="2" t="inlineStr">
        <is>
          <t>Kết quả gốc được kiểm tra và có bằng chứng gắn với CIN-SUB-058; ngoại lệ được ghi rõ.</t>
        </is>
      </c>
      <c r="AB59" s="2" t="inlineStr">
        <is>
          <t>Planned</t>
        </is>
      </c>
      <c r="AC59" s="2" t="inlineStr">
        <is>
          <t>Planned only; no completion evidence was transferred.</t>
        </is>
      </c>
    </row>
    <row r="60">
      <c r="A60" s="2" t="inlineStr">
        <is>
          <t>ORIG-059</t>
        </is>
      </c>
      <c r="B60" s="2" t="n">
        <v>60</v>
      </c>
      <c r="C60" s="2" t="inlineStr">
        <is>
          <t>Customer Web – Foundation</t>
        </is>
      </c>
      <c r="D60" s="2" t="n"/>
      <c r="E60" s="2" t="inlineStr">
        <is>
          <t>Trang Payment Result</t>
        </is>
      </c>
      <c r="F60" s="2" t="inlineStr">
        <is>
          <t>Thành công / thất bại</t>
        </is>
      </c>
      <c r="G60" s="2" t="inlineStr">
        <is>
          <t>Bắt buộc</t>
        </is>
      </c>
      <c r="H60" s="2" t="inlineStr">
        <is>
          <t>Sprint 2</t>
        </is>
      </c>
      <c r="I60" s="2" t="inlineStr">
        <is>
          <t>Layout, navigation và cấu trúc màn hình khách hàng.</t>
        </is>
      </c>
      <c r="J60" s="2" t="inlineStr">
        <is>
          <t>PH-02</t>
        </is>
      </c>
      <c r="K60" s="2" t="inlineStr">
        <is>
          <t>Solution Design &amp; Foundations</t>
        </is>
      </c>
      <c r="L60" s="2" t="inlineStr">
        <is>
          <t>CIN-T-009</t>
        </is>
      </c>
      <c r="M60" s="2" t="inlineStr">
        <is>
          <t>Đặc tả các màn hình Customer</t>
        </is>
      </c>
      <c r="N60" s="2" t="inlineStr">
        <is>
          <t>24120244</t>
        </is>
      </c>
      <c r="O60" s="2" t="inlineStr">
        <is>
          <t>Phan Van Viet</t>
        </is>
      </c>
      <c r="P60" s="2" t="inlineStr">
        <is>
          <t>CIN-SUB-059</t>
        </is>
      </c>
      <c r="Q60" s="2" t="inlineStr">
        <is>
          <t>Sprint 2</t>
        </is>
      </c>
      <c r="R60" s="2" t="inlineStr">
        <is>
          <t>24120271</t>
        </is>
      </c>
      <c r="S60" s="2" t="inlineStr">
        <is>
          <t>Nguyen Trung Chinh</t>
        </is>
      </c>
      <c r="T60" s="3" t="n">
        <v>46312</v>
      </c>
      <c r="U60" s="3" t="n">
        <v>46325</v>
      </c>
      <c r="V60" s="2" t="n">
        <v>3</v>
      </c>
      <c r="W60" s="2" t="inlineStr">
        <is>
          <t>High</t>
        </is>
      </c>
      <c r="X60" s="2" t="inlineStr">
        <is>
          <t>UX / UI Design</t>
        </is>
      </c>
      <c r="Y60" s="2" t="inlineStr">
        <is>
          <t>CIN-T-008</t>
        </is>
      </c>
      <c r="Z60" s="2" t="inlineStr">
        <is>
          <t>Hoàn tất kết quả gốc: Thành công / thất bại.</t>
        </is>
      </c>
      <c r="AA60" s="2" t="inlineStr">
        <is>
          <t>Kết quả gốc được kiểm tra và có bằng chứng gắn với CIN-SUB-059; ngoại lệ được ghi rõ.</t>
        </is>
      </c>
      <c r="AB60" s="2" t="inlineStr">
        <is>
          <t>Planned</t>
        </is>
      </c>
      <c r="AC60" s="2" t="inlineStr">
        <is>
          <t>Planned only; no completion evidence was transferred.</t>
        </is>
      </c>
    </row>
    <row r="61">
      <c r="A61" s="2" t="inlineStr">
        <is>
          <t>ORIG-060</t>
        </is>
      </c>
      <c r="B61" s="2" t="n">
        <v>61</v>
      </c>
      <c r="C61" s="2" t="inlineStr">
        <is>
          <t>Customer Web – Foundation</t>
        </is>
      </c>
      <c r="D61" s="2" t="n"/>
      <c r="E61" s="2" t="inlineStr">
        <is>
          <t>Trang My Tickets</t>
        </is>
      </c>
      <c r="F61" s="2" t="inlineStr">
        <is>
          <t>Vé đã mua</t>
        </is>
      </c>
      <c r="G61" s="2" t="inlineStr">
        <is>
          <t>Bắt buộc</t>
        </is>
      </c>
      <c r="H61" s="2" t="inlineStr">
        <is>
          <t>Sprint 2</t>
        </is>
      </c>
      <c r="I61" s="2" t="inlineStr">
        <is>
          <t>Layout, navigation và cấu trúc màn hình khách hàng.</t>
        </is>
      </c>
      <c r="J61" s="2" t="inlineStr">
        <is>
          <t>PH-02</t>
        </is>
      </c>
      <c r="K61" s="2" t="inlineStr">
        <is>
          <t>Solution Design &amp; Foundations</t>
        </is>
      </c>
      <c r="L61" s="2" t="inlineStr">
        <is>
          <t>CIN-T-009</t>
        </is>
      </c>
      <c r="M61" s="2" t="inlineStr">
        <is>
          <t>Đặc tả các màn hình Customer</t>
        </is>
      </c>
      <c r="N61" s="2" t="inlineStr">
        <is>
          <t>24120244</t>
        </is>
      </c>
      <c r="O61" s="2" t="inlineStr">
        <is>
          <t>Phan Van Viet</t>
        </is>
      </c>
      <c r="P61" s="2" t="inlineStr">
        <is>
          <t>CIN-SUB-060</t>
        </is>
      </c>
      <c r="Q61" s="2" t="inlineStr">
        <is>
          <t>Sprint 2</t>
        </is>
      </c>
      <c r="R61" s="2" t="inlineStr">
        <is>
          <t>24120098</t>
        </is>
      </c>
      <c r="S61" s="2" t="inlineStr">
        <is>
          <t>Nguyen Quoc Nam</t>
        </is>
      </c>
      <c r="T61" s="3" t="n">
        <v>46312</v>
      </c>
      <c r="U61" s="3" t="n">
        <v>46325</v>
      </c>
      <c r="V61" s="2" t="n">
        <v>3</v>
      </c>
      <c r="W61" s="2" t="inlineStr">
        <is>
          <t>High</t>
        </is>
      </c>
      <c r="X61" s="2" t="inlineStr">
        <is>
          <t>UX / UI Design</t>
        </is>
      </c>
      <c r="Y61" s="2" t="inlineStr">
        <is>
          <t>CIN-T-008</t>
        </is>
      </c>
      <c r="Z61" s="2" t="inlineStr">
        <is>
          <t>Hoàn tất kết quả gốc: Vé đã mua.</t>
        </is>
      </c>
      <c r="AA61" s="2" t="inlineStr">
        <is>
          <t>Kết quả gốc được kiểm tra và có bằng chứng gắn với CIN-SUB-060; ngoại lệ được ghi rõ.</t>
        </is>
      </c>
      <c r="AB61" s="2" t="inlineStr">
        <is>
          <t>Planned</t>
        </is>
      </c>
      <c r="AC61" s="2" t="inlineStr">
        <is>
          <t>Planned only; no completion evidence was transferred.</t>
        </is>
      </c>
    </row>
    <row r="62">
      <c r="A62" s="2" t="inlineStr">
        <is>
          <t>ORIG-061</t>
        </is>
      </c>
      <c r="B62" s="2" t="n">
        <v>62</v>
      </c>
      <c r="C62" s="2" t="inlineStr">
        <is>
          <t>Customer Web – Foundation</t>
        </is>
      </c>
      <c r="D62" s="2" t="n"/>
      <c r="E62" s="2" t="inlineStr">
        <is>
          <t>Trang Booking History</t>
        </is>
      </c>
      <c r="F62" s="2" t="inlineStr">
        <is>
          <t>Lịch sử đặt vé</t>
        </is>
      </c>
      <c r="G62" s="2" t="inlineStr">
        <is>
          <t>Bắt buộc</t>
        </is>
      </c>
      <c r="H62" s="2" t="inlineStr">
        <is>
          <t>Sprint 2</t>
        </is>
      </c>
      <c r="I62" s="2" t="inlineStr">
        <is>
          <t>Layout, navigation và cấu trúc màn hình khách hàng.</t>
        </is>
      </c>
      <c r="J62" s="2" t="inlineStr">
        <is>
          <t>PH-02</t>
        </is>
      </c>
      <c r="K62" s="2" t="inlineStr">
        <is>
          <t>Solution Design &amp; Foundations</t>
        </is>
      </c>
      <c r="L62" s="2" t="inlineStr">
        <is>
          <t>CIN-T-009</t>
        </is>
      </c>
      <c r="M62" s="2" t="inlineStr">
        <is>
          <t>Đặc tả các màn hình Customer</t>
        </is>
      </c>
      <c r="N62" s="2" t="inlineStr">
        <is>
          <t>24120244</t>
        </is>
      </c>
      <c r="O62" s="2" t="inlineStr">
        <is>
          <t>Phan Van Viet</t>
        </is>
      </c>
      <c r="P62" s="2" t="inlineStr">
        <is>
          <t>CIN-SUB-061</t>
        </is>
      </c>
      <c r="Q62" s="2" t="inlineStr">
        <is>
          <t>Sprint 2</t>
        </is>
      </c>
      <c r="R62" s="2" t="inlineStr">
        <is>
          <t>24120244</t>
        </is>
      </c>
      <c r="S62" s="2" t="inlineStr">
        <is>
          <t>Phan Van Viet</t>
        </is>
      </c>
      <c r="T62" s="3" t="n">
        <v>46312</v>
      </c>
      <c r="U62" s="3" t="n">
        <v>46325</v>
      </c>
      <c r="V62" s="2" t="n">
        <v>3</v>
      </c>
      <c r="W62" s="2" t="inlineStr">
        <is>
          <t>High</t>
        </is>
      </c>
      <c r="X62" s="2" t="inlineStr">
        <is>
          <t>UX / UI Design</t>
        </is>
      </c>
      <c r="Y62" s="2" t="inlineStr">
        <is>
          <t>CIN-T-008</t>
        </is>
      </c>
      <c r="Z62" s="2" t="inlineStr">
        <is>
          <t>Hoàn tất kết quả gốc: Lịch sử đặt vé.</t>
        </is>
      </c>
      <c r="AA62" s="2" t="inlineStr">
        <is>
          <t>Kết quả gốc được kiểm tra và có bằng chứng gắn với CIN-SUB-061; ngoại lệ được ghi rõ.</t>
        </is>
      </c>
      <c r="AB62" s="2" t="inlineStr">
        <is>
          <t>Planned</t>
        </is>
      </c>
      <c r="AC62" s="2" t="inlineStr">
        <is>
          <t>Planned only; no completion evidence was transferred.</t>
        </is>
      </c>
    </row>
    <row r="63">
      <c r="A63" s="2" t="inlineStr">
        <is>
          <t>ORIG-062</t>
        </is>
      </c>
      <c r="B63" s="2" t="n">
        <v>63</v>
      </c>
      <c r="C63" s="2" t="inlineStr">
        <is>
          <t>Customer Web – Foundation</t>
        </is>
      </c>
      <c r="D63" s="2" t="n"/>
      <c r="E63" s="2" t="inlineStr">
        <is>
          <t>Trang Profile</t>
        </is>
      </c>
      <c r="F63" s="2" t="inlineStr">
        <is>
          <t>Thông tin tài khoản</t>
        </is>
      </c>
      <c r="G63" s="2" t="inlineStr">
        <is>
          <t>Bắt buộc</t>
        </is>
      </c>
      <c r="H63" s="2" t="inlineStr">
        <is>
          <t>Sprint 2</t>
        </is>
      </c>
      <c r="I63" s="2" t="inlineStr">
        <is>
          <t>Layout, navigation và cấu trúc màn hình khách hàng.</t>
        </is>
      </c>
      <c r="J63" s="2" t="inlineStr">
        <is>
          <t>PH-02</t>
        </is>
      </c>
      <c r="K63" s="2" t="inlineStr">
        <is>
          <t>Solution Design &amp; Foundations</t>
        </is>
      </c>
      <c r="L63" s="2" t="inlineStr">
        <is>
          <t>CIN-T-009</t>
        </is>
      </c>
      <c r="M63" s="2" t="inlineStr">
        <is>
          <t>Đặc tả các màn hình Customer</t>
        </is>
      </c>
      <c r="N63" s="2" t="inlineStr">
        <is>
          <t>24120244</t>
        </is>
      </c>
      <c r="O63" s="2" t="inlineStr">
        <is>
          <t>Phan Van Viet</t>
        </is>
      </c>
      <c r="P63" s="2" t="inlineStr">
        <is>
          <t>CIN-SUB-062</t>
        </is>
      </c>
      <c r="Q63" s="2" t="inlineStr">
        <is>
          <t>Sprint 2</t>
        </is>
      </c>
      <c r="R63" s="2" t="inlineStr">
        <is>
          <t>24120235</t>
        </is>
      </c>
      <c r="S63" s="2" t="inlineStr">
        <is>
          <t>Huynh Thanh Tu</t>
        </is>
      </c>
      <c r="T63" s="3" t="n">
        <v>46312</v>
      </c>
      <c r="U63" s="3" t="n">
        <v>46325</v>
      </c>
      <c r="V63" s="2" t="n">
        <v>2</v>
      </c>
      <c r="W63" s="2" t="inlineStr">
        <is>
          <t>High</t>
        </is>
      </c>
      <c r="X63" s="2" t="inlineStr">
        <is>
          <t>UX / UI Design</t>
        </is>
      </c>
      <c r="Y63" s="2" t="inlineStr">
        <is>
          <t>CIN-T-008</t>
        </is>
      </c>
      <c r="Z63" s="2" t="inlineStr">
        <is>
          <t>Hoàn tất kết quả gốc: Thông tin tài khoản.</t>
        </is>
      </c>
      <c r="AA63" s="2" t="inlineStr">
        <is>
          <t>Kết quả gốc được kiểm tra và có bằng chứng gắn với CIN-SUB-062; ngoại lệ được ghi rõ.</t>
        </is>
      </c>
      <c r="AB63" s="2" t="inlineStr">
        <is>
          <t>Planned</t>
        </is>
      </c>
      <c r="AC63" s="2" t="inlineStr">
        <is>
          <t>Planned only; no completion evidence was transferred.</t>
        </is>
      </c>
    </row>
    <row r="64">
      <c r="A64" s="2" t="inlineStr">
        <is>
          <t>ORIG-063</t>
        </is>
      </c>
      <c r="B64" s="2" t="n">
        <v>64</v>
      </c>
      <c r="C64" s="2" t="inlineStr">
        <is>
          <t>Customer Web – Foundation</t>
        </is>
      </c>
      <c r="D64" s="2" t="n"/>
      <c r="E64" s="2" t="inlineStr">
        <is>
          <t>Xác định Component dùng chung</t>
        </is>
      </c>
      <c r="F64" s="2" t="inlineStr">
        <is>
          <t>Movie Card, Button, Modal, Form, Table, Seat, Pagination, Toast,...</t>
        </is>
      </c>
      <c r="G64" s="2" t="inlineStr">
        <is>
          <t>Bắt buộc</t>
        </is>
      </c>
      <c r="H64" s="2" t="inlineStr">
        <is>
          <t>Sprint 2</t>
        </is>
      </c>
      <c r="I64" s="2" t="inlineStr">
        <is>
          <t>Layout, navigation và cấu trúc màn hình khách hàng.</t>
        </is>
      </c>
      <c r="J64" s="2" t="inlineStr">
        <is>
          <t>PH-02</t>
        </is>
      </c>
      <c r="K64" s="2" t="inlineStr">
        <is>
          <t>Solution Design &amp; Foundations</t>
        </is>
      </c>
      <c r="L64" s="2" t="inlineStr">
        <is>
          <t>CIN-T-010</t>
        </is>
      </c>
      <c r="M64" s="2" t="inlineStr">
        <is>
          <t>Xác định component, UI state, dữ liệu và responsive behavior</t>
        </is>
      </c>
      <c r="N64" s="2" t="inlineStr">
        <is>
          <t>24120255</t>
        </is>
      </c>
      <c r="O64" s="2" t="inlineStr">
        <is>
          <t>Tran Thien An</t>
        </is>
      </c>
      <c r="P64" s="2" t="inlineStr">
        <is>
          <t>CIN-SUB-063</t>
        </is>
      </c>
      <c r="Q64" s="2" t="inlineStr">
        <is>
          <t>Sprint 2</t>
        </is>
      </c>
      <c r="R64" s="2" t="inlineStr">
        <is>
          <t>24120255</t>
        </is>
      </c>
      <c r="S64" s="2" t="inlineStr">
        <is>
          <t>Tran Thien An</t>
        </is>
      </c>
      <c r="T64" s="3" t="n">
        <v>46312</v>
      </c>
      <c r="U64" s="3" t="n">
        <v>46325</v>
      </c>
      <c r="V64" s="2" t="n">
        <v>2</v>
      </c>
      <c r="W64" s="2" t="inlineStr">
        <is>
          <t>Medium</t>
        </is>
      </c>
      <c r="X64" s="2" t="inlineStr">
        <is>
          <t>UX / UI Design</t>
        </is>
      </c>
      <c r="Y64" s="2" t="inlineStr">
        <is>
          <t>CIN-T-009</t>
        </is>
      </c>
      <c r="Z64" s="2" t="inlineStr">
        <is>
          <t>Hoàn tất kết quả gốc: Movie Card, Button, Modal, Form, Table, Seat, Pagination, Toast,....</t>
        </is>
      </c>
      <c r="AA64" s="2" t="inlineStr">
        <is>
          <t>Kết quả gốc được kiểm tra và có bằng chứng gắn với CIN-SUB-063; ngoại lệ được ghi rõ.</t>
        </is>
      </c>
      <c r="AB64" s="2" t="inlineStr">
        <is>
          <t>Planned</t>
        </is>
      </c>
      <c r="AC64" s="2" t="inlineStr">
        <is>
          <t>Planned only; no completion evidence was transferred.</t>
        </is>
      </c>
    </row>
    <row r="65">
      <c r="A65" s="2" t="inlineStr">
        <is>
          <t>ORIG-064</t>
        </is>
      </c>
      <c r="B65" s="2" t="n">
        <v>65</v>
      </c>
      <c r="C65" s="2" t="inlineStr">
        <is>
          <t>Customer Web – Foundation</t>
        </is>
      </c>
      <c r="D65" s="2" t="n"/>
      <c r="E65" s="2" t="inlineStr">
        <is>
          <t>Xác định UI State</t>
        </is>
      </c>
      <c r="F65" s="2" t="inlineStr">
        <is>
          <t>Loading, Empty, Error, Success, Disabled,...</t>
        </is>
      </c>
      <c r="G65" s="2" t="inlineStr">
        <is>
          <t>Bắt buộc</t>
        </is>
      </c>
      <c r="H65" s="2" t="inlineStr">
        <is>
          <t>Sprint 2</t>
        </is>
      </c>
      <c r="I65" s="2" t="inlineStr">
        <is>
          <t>Layout, navigation và cấu trúc màn hình khách hàng.</t>
        </is>
      </c>
      <c r="J65" s="2" t="inlineStr">
        <is>
          <t>PH-02</t>
        </is>
      </c>
      <c r="K65" s="2" t="inlineStr">
        <is>
          <t>Solution Design &amp; Foundations</t>
        </is>
      </c>
      <c r="L65" s="2" t="inlineStr">
        <is>
          <t>CIN-T-010</t>
        </is>
      </c>
      <c r="M65" s="2" t="inlineStr">
        <is>
          <t>Xác định component, UI state, dữ liệu và responsive behavior</t>
        </is>
      </c>
      <c r="N65" s="2" t="inlineStr">
        <is>
          <t>24120255</t>
        </is>
      </c>
      <c r="O65" s="2" t="inlineStr">
        <is>
          <t>Tran Thien An</t>
        </is>
      </c>
      <c r="P65" s="2" t="inlineStr">
        <is>
          <t>CIN-SUB-064</t>
        </is>
      </c>
      <c r="Q65" s="2" t="inlineStr">
        <is>
          <t>Sprint 2</t>
        </is>
      </c>
      <c r="R65" s="2" t="inlineStr">
        <is>
          <t>24120271</t>
        </is>
      </c>
      <c r="S65" s="2" t="inlineStr">
        <is>
          <t>Nguyen Trung Chinh</t>
        </is>
      </c>
      <c r="T65" s="3" t="n">
        <v>46312</v>
      </c>
      <c r="U65" s="3" t="n">
        <v>46325</v>
      </c>
      <c r="V65" s="2" t="n">
        <v>2</v>
      </c>
      <c r="W65" s="2" t="inlineStr">
        <is>
          <t>Medium</t>
        </is>
      </c>
      <c r="X65" s="2" t="inlineStr">
        <is>
          <t>UX / UI Design</t>
        </is>
      </c>
      <c r="Y65" s="2" t="inlineStr">
        <is>
          <t>CIN-T-009</t>
        </is>
      </c>
      <c r="Z65" s="2" t="inlineStr">
        <is>
          <t>Hoàn tất kết quả gốc: Loading, Empty, Error, Success, Disabled,....</t>
        </is>
      </c>
      <c r="AA65" s="2" t="inlineStr">
        <is>
          <t>Kết quả gốc được kiểm tra và có bằng chứng gắn với CIN-SUB-064; ngoại lệ được ghi rõ.</t>
        </is>
      </c>
      <c r="AB65" s="2" t="inlineStr">
        <is>
          <t>Planned</t>
        </is>
      </c>
      <c r="AC65" s="2" t="inlineStr">
        <is>
          <t>Planned only; no completion evidence was transferred.</t>
        </is>
      </c>
    </row>
    <row r="66">
      <c r="A66" s="2" t="inlineStr">
        <is>
          <t>ORIG-065</t>
        </is>
      </c>
      <c r="B66" s="2" t="n">
        <v>66</v>
      </c>
      <c r="C66" s="2" t="inlineStr">
        <is>
          <t>Customer Web – Foundation</t>
        </is>
      </c>
      <c r="D66" s="2" t="n"/>
      <c r="E66" s="2" t="inlineStr">
        <is>
          <t>Xác định dữ liệu cần hiển thị</t>
        </is>
      </c>
      <c r="F66" s="2" t="inlineStr">
        <is>
          <t>Xác định mỗi màn hình cần những dữ liệu nào từ Backend</t>
        </is>
      </c>
      <c r="G66" s="2" t="inlineStr">
        <is>
          <t>Bắt buộc</t>
        </is>
      </c>
      <c r="H66" s="2" t="inlineStr">
        <is>
          <t>Sprint 2</t>
        </is>
      </c>
      <c r="I66" s="2" t="inlineStr">
        <is>
          <t>Layout, navigation và cấu trúc màn hình khách hàng.</t>
        </is>
      </c>
      <c r="J66" s="2" t="inlineStr">
        <is>
          <t>PH-02</t>
        </is>
      </c>
      <c r="K66" s="2" t="inlineStr">
        <is>
          <t>Solution Design &amp; Foundations</t>
        </is>
      </c>
      <c r="L66" s="2" t="inlineStr">
        <is>
          <t>CIN-T-010</t>
        </is>
      </c>
      <c r="M66" s="2" t="inlineStr">
        <is>
          <t>Xác định component, UI state, dữ liệu và responsive behavior</t>
        </is>
      </c>
      <c r="N66" s="2" t="inlineStr">
        <is>
          <t>24120255</t>
        </is>
      </c>
      <c r="O66" s="2" t="inlineStr">
        <is>
          <t>Tran Thien An</t>
        </is>
      </c>
      <c r="P66" s="2" t="inlineStr">
        <is>
          <t>CIN-SUB-065</t>
        </is>
      </c>
      <c r="Q66" s="2" t="inlineStr">
        <is>
          <t>Sprint 2</t>
        </is>
      </c>
      <c r="R66" s="2" t="inlineStr">
        <is>
          <t>24120098</t>
        </is>
      </c>
      <c r="S66" s="2" t="inlineStr">
        <is>
          <t>Nguyen Quoc Nam</t>
        </is>
      </c>
      <c r="T66" s="3" t="n">
        <v>46312</v>
      </c>
      <c r="U66" s="3" t="n">
        <v>46325</v>
      </c>
      <c r="V66" s="2" t="n">
        <v>2</v>
      </c>
      <c r="W66" s="2" t="inlineStr">
        <is>
          <t>Medium</t>
        </is>
      </c>
      <c r="X66" s="2" t="inlineStr">
        <is>
          <t>UX / UI Design</t>
        </is>
      </c>
      <c r="Y66" s="2" t="inlineStr">
        <is>
          <t>CIN-T-009</t>
        </is>
      </c>
      <c r="Z66" s="2" t="inlineStr">
        <is>
          <t>Hoàn tất kết quả gốc: Xác định mỗi màn hình cần những dữ liệu nào từ Backend.</t>
        </is>
      </c>
      <c r="AA66" s="2" t="inlineStr">
        <is>
          <t>Kết quả gốc được kiểm tra và có bằng chứng gắn với CIN-SUB-065; ngoại lệ được ghi rõ.</t>
        </is>
      </c>
      <c r="AB66" s="2" t="inlineStr">
        <is>
          <t>Planned</t>
        </is>
      </c>
      <c r="AC66" s="2" t="inlineStr">
        <is>
          <t>Planned only; no completion evidence was transferred.</t>
        </is>
      </c>
    </row>
    <row r="67">
      <c r="A67" s="2" t="inlineStr">
        <is>
          <t>ORIG-066</t>
        </is>
      </c>
      <c r="B67" s="2" t="n">
        <v>67</v>
      </c>
      <c r="C67" s="2" t="inlineStr">
        <is>
          <t>Customer Web – Foundation</t>
        </is>
      </c>
      <c r="D67" s="2" t="n"/>
      <c r="E67" s="2" t="inlineStr">
        <is>
          <t>Xác định thao tác người dùng</t>
        </is>
      </c>
      <c r="F67" s="2" t="inlineStr">
        <is>
          <t>Click, chọn, nhập, submit, cancel, payment,...</t>
        </is>
      </c>
      <c r="G67" s="2" t="inlineStr">
        <is>
          <t>Bắt buộc</t>
        </is>
      </c>
      <c r="H67" s="2" t="inlineStr">
        <is>
          <t>Sprint 2</t>
        </is>
      </c>
      <c r="I67" s="2" t="inlineStr">
        <is>
          <t>Layout, navigation và cấu trúc màn hình khách hàng.</t>
        </is>
      </c>
      <c r="J67" s="2" t="inlineStr">
        <is>
          <t>PH-02</t>
        </is>
      </c>
      <c r="K67" s="2" t="inlineStr">
        <is>
          <t>Solution Design &amp; Foundations</t>
        </is>
      </c>
      <c r="L67" s="2" t="inlineStr">
        <is>
          <t>CIN-T-010</t>
        </is>
      </c>
      <c r="M67" s="2" t="inlineStr">
        <is>
          <t>Xác định component, UI state, dữ liệu và responsive behavior</t>
        </is>
      </c>
      <c r="N67" s="2" t="inlineStr">
        <is>
          <t>24120255</t>
        </is>
      </c>
      <c r="O67" s="2" t="inlineStr">
        <is>
          <t>Tran Thien An</t>
        </is>
      </c>
      <c r="P67" s="2" t="inlineStr">
        <is>
          <t>CIN-SUB-066</t>
        </is>
      </c>
      <c r="Q67" s="2" t="inlineStr">
        <is>
          <t>Sprint 2</t>
        </is>
      </c>
      <c r="R67" s="2" t="inlineStr">
        <is>
          <t>24120235</t>
        </is>
      </c>
      <c r="S67" s="2" t="inlineStr">
        <is>
          <t>Huynh Thanh Tu</t>
        </is>
      </c>
      <c r="T67" s="3" t="n">
        <v>46312</v>
      </c>
      <c r="U67" s="3" t="n">
        <v>46325</v>
      </c>
      <c r="V67" s="2" t="n">
        <v>3</v>
      </c>
      <c r="W67" s="2" t="inlineStr">
        <is>
          <t>Medium</t>
        </is>
      </c>
      <c r="X67" s="2" t="inlineStr">
        <is>
          <t>UX / UI Design</t>
        </is>
      </c>
      <c r="Y67" s="2" t="inlineStr">
        <is>
          <t>CIN-T-009</t>
        </is>
      </c>
      <c r="Z67" s="2" t="inlineStr">
        <is>
          <t>Hoàn tất kết quả gốc: Click, chọn, nhập, submit, cancel, payment,....</t>
        </is>
      </c>
      <c r="AA67" s="2" t="inlineStr">
        <is>
          <t>Kết quả gốc được kiểm tra và có bằng chứng gắn với CIN-SUB-066; ngoại lệ được ghi rõ.</t>
        </is>
      </c>
      <c r="AB67" s="2" t="inlineStr">
        <is>
          <t>Planned</t>
        </is>
      </c>
      <c r="AC67" s="2" t="inlineStr">
        <is>
          <t>Planned only; no completion evidence was transferred.</t>
        </is>
      </c>
    </row>
    <row r="68">
      <c r="A68" s="2" t="inlineStr">
        <is>
          <t>ORIG-067</t>
        </is>
      </c>
      <c r="B68" s="2" t="n">
        <v>68</v>
      </c>
      <c r="C68" s="2" t="inlineStr">
        <is>
          <t>Customer Web – Foundation</t>
        </is>
      </c>
      <c r="D68" s="2" t="n"/>
      <c r="E68" s="2" t="inlineStr">
        <is>
          <t>Xác định Responsive</t>
        </is>
      </c>
      <c r="F68" s="2" t="inlineStr">
        <is>
          <t>Desktop / Tablet / Mobile</t>
        </is>
      </c>
      <c r="G68" s="2" t="inlineStr">
        <is>
          <t>Bắt buộc</t>
        </is>
      </c>
      <c r="H68" s="2" t="inlineStr">
        <is>
          <t>Sprint 2</t>
        </is>
      </c>
      <c r="I68" s="2" t="inlineStr">
        <is>
          <t>Layout, navigation và cấu trúc màn hình khách hàng.</t>
        </is>
      </c>
      <c r="J68" s="2" t="inlineStr">
        <is>
          <t>PH-02</t>
        </is>
      </c>
      <c r="K68" s="2" t="inlineStr">
        <is>
          <t>Solution Design &amp; Foundations</t>
        </is>
      </c>
      <c r="L68" s="2" t="inlineStr">
        <is>
          <t>CIN-T-010</t>
        </is>
      </c>
      <c r="M68" s="2" t="inlineStr">
        <is>
          <t>Xác định component, UI state, dữ liệu và responsive behavior</t>
        </is>
      </c>
      <c r="N68" s="2" t="inlineStr">
        <is>
          <t>24120255</t>
        </is>
      </c>
      <c r="O68" s="2" t="inlineStr">
        <is>
          <t>Tran Thien An</t>
        </is>
      </c>
      <c r="P68" s="2" t="inlineStr">
        <is>
          <t>CIN-SUB-067</t>
        </is>
      </c>
      <c r="Q68" s="2" t="inlineStr">
        <is>
          <t>Sprint 2</t>
        </is>
      </c>
      <c r="R68" s="2" t="inlineStr">
        <is>
          <t>24120255</t>
        </is>
      </c>
      <c r="S68" s="2" t="inlineStr">
        <is>
          <t>Tran Thien An</t>
        </is>
      </c>
      <c r="T68" s="3" t="n">
        <v>46312</v>
      </c>
      <c r="U68" s="3" t="n">
        <v>46325</v>
      </c>
      <c r="V68" s="2" t="n">
        <v>3</v>
      </c>
      <c r="W68" s="2" t="inlineStr">
        <is>
          <t>Medium</t>
        </is>
      </c>
      <c r="X68" s="2" t="inlineStr">
        <is>
          <t>UX / UI Design</t>
        </is>
      </c>
      <c r="Y68" s="2" t="inlineStr">
        <is>
          <t>CIN-T-009</t>
        </is>
      </c>
      <c r="Z68" s="2" t="inlineStr">
        <is>
          <t>Hoàn tất kết quả gốc: Desktop / Tablet / Mobile.</t>
        </is>
      </c>
      <c r="AA68" s="2" t="inlineStr">
        <is>
          <t>Kết quả gốc được kiểm tra và có bằng chứng gắn với CIN-SUB-067; ngoại lệ được ghi rõ.</t>
        </is>
      </c>
      <c r="AB68" s="2" t="inlineStr">
        <is>
          <t>Planned</t>
        </is>
      </c>
      <c r="AC68" s="2" t="inlineStr">
        <is>
          <t>Planned only; no completion evidence was transferred.</t>
        </is>
      </c>
    </row>
    <row r="69">
      <c r="A69" s="2" t="inlineStr">
        <is>
          <t>ORIG-068</t>
        </is>
      </c>
      <c r="B69" s="2" t="n">
        <v>69</v>
      </c>
      <c r="C69" s="2" t="inlineStr">
        <is>
          <t>Thiết kế API</t>
        </is>
      </c>
      <c r="D69" s="2" t="inlineStr">
        <is>
          <t>Chốt giao tiếp FE ↔ BE</t>
        </is>
      </c>
      <c r="E69" s="2" t="inlineStr">
        <is>
          <t>Xác định API Contract</t>
        </is>
      </c>
      <c r="F69" s="2" t="inlineStr">
        <is>
          <t>Thống nhất Endpoint, Method, Request, Response, Status Code giữa FE và BE</t>
        </is>
      </c>
      <c r="G69" s="2" t="inlineStr">
        <is>
          <t>Bắt buộc</t>
        </is>
      </c>
      <c r="H69" s="2" t="inlineStr">
        <is>
          <t>Sprint 2</t>
        </is>
      </c>
      <c r="I69" s="2" t="inlineStr">
        <is>
          <t>API contract giúp FE và BE làm việc song song.</t>
        </is>
      </c>
      <c r="J69" s="2" t="inlineStr">
        <is>
          <t>PH-02</t>
        </is>
      </c>
      <c r="K69" s="2" t="inlineStr">
        <is>
          <t>Solution Design &amp; Foundations</t>
        </is>
      </c>
      <c r="L69" s="2" t="inlineStr">
        <is>
          <t>CIN-T-011</t>
        </is>
      </c>
      <c r="M69" s="2" t="inlineStr">
        <is>
          <t>Chốt API contract và chính sách truy cập</t>
        </is>
      </c>
      <c r="N69" s="2" t="inlineStr">
        <is>
          <t>24120244</t>
        </is>
      </c>
      <c r="O69" s="2" t="inlineStr">
        <is>
          <t>Phan Van Viet</t>
        </is>
      </c>
      <c r="P69" s="2" t="inlineStr">
        <is>
          <t>CIN-SUB-068</t>
        </is>
      </c>
      <c r="Q69" s="2" t="inlineStr">
        <is>
          <t>Sprint 2</t>
        </is>
      </c>
      <c r="R69" s="2" t="inlineStr">
        <is>
          <t>24120244</t>
        </is>
      </c>
      <c r="S69" s="2" t="inlineStr">
        <is>
          <t>Phan Van Viet</t>
        </is>
      </c>
      <c r="T69" s="3" t="n">
        <v>46312</v>
      </c>
      <c r="U69" s="3" t="n">
        <v>46325</v>
      </c>
      <c r="V69" s="2" t="n">
        <v>3</v>
      </c>
      <c r="W69" s="2" t="inlineStr">
        <is>
          <t>High</t>
        </is>
      </c>
      <c r="X69" s="2" t="inlineStr">
        <is>
          <t>API Design</t>
        </is>
      </c>
      <c r="Y69" s="2" t="inlineStr">
        <is>
          <t>CIN-T-007, CIN-T-003</t>
        </is>
      </c>
      <c r="Z69" s="2" t="inlineStr">
        <is>
          <t>Hoàn tất kết quả gốc: Thống nhất Endpoint, Method, Request, Response, Status Code giữa FE và BE.</t>
        </is>
      </c>
      <c r="AA69" s="2" t="inlineStr">
        <is>
          <t>Kết quả gốc được kiểm tra và có bằng chứng gắn với CIN-SUB-068; ngoại lệ được ghi rõ.</t>
        </is>
      </c>
      <c r="AB69" s="2" t="inlineStr">
        <is>
          <t>Planned</t>
        </is>
      </c>
      <c r="AC69" s="2" t="inlineStr">
        <is>
          <t>Planned only; no completion evidence was transferred.</t>
        </is>
      </c>
    </row>
    <row r="70">
      <c r="A70" s="2" t="inlineStr">
        <is>
          <t>ORIG-069</t>
        </is>
      </c>
      <c r="B70" s="2" t="n">
        <v>70</v>
      </c>
      <c r="C70" s="2" t="inlineStr">
        <is>
          <t>Thiết kế API</t>
        </is>
      </c>
      <c r="D70" s="2" t="n"/>
      <c r="E70" s="2" t="inlineStr">
        <is>
          <t>Thiết kế API Endpoint</t>
        </is>
      </c>
      <c r="F70" s="2" t="inlineStr">
        <is>
          <t>Xác định các API cần có cho từng nghiệp vụ</t>
        </is>
      </c>
      <c r="G70" s="2" t="inlineStr">
        <is>
          <t>Bắt buộc</t>
        </is>
      </c>
      <c r="H70" s="2" t="inlineStr">
        <is>
          <t>Sprint 2</t>
        </is>
      </c>
      <c r="I70" s="2" t="inlineStr">
        <is>
          <t>API contract giúp FE và BE làm việc song song.</t>
        </is>
      </c>
      <c r="J70" s="2" t="inlineStr">
        <is>
          <t>PH-02</t>
        </is>
      </c>
      <c r="K70" s="2" t="inlineStr">
        <is>
          <t>Solution Design &amp; Foundations</t>
        </is>
      </c>
      <c r="L70" s="2" t="inlineStr">
        <is>
          <t>CIN-T-011</t>
        </is>
      </c>
      <c r="M70" s="2" t="inlineStr">
        <is>
          <t>Chốt API contract và chính sách truy cập</t>
        </is>
      </c>
      <c r="N70" s="2" t="inlineStr">
        <is>
          <t>24120244</t>
        </is>
      </c>
      <c r="O70" s="2" t="inlineStr">
        <is>
          <t>Phan Van Viet</t>
        </is>
      </c>
      <c r="P70" s="2" t="inlineStr">
        <is>
          <t>CIN-SUB-069</t>
        </is>
      </c>
      <c r="Q70" s="2" t="inlineStr">
        <is>
          <t>Sprint 2</t>
        </is>
      </c>
      <c r="R70" s="2" t="inlineStr">
        <is>
          <t>24120271</t>
        </is>
      </c>
      <c r="S70" s="2" t="inlineStr">
        <is>
          <t>Nguyen Trung Chinh</t>
        </is>
      </c>
      <c r="T70" s="3" t="n">
        <v>46312</v>
      </c>
      <c r="U70" s="3" t="n">
        <v>46325</v>
      </c>
      <c r="V70" s="2" t="n">
        <v>3</v>
      </c>
      <c r="W70" s="2" t="inlineStr">
        <is>
          <t>High</t>
        </is>
      </c>
      <c r="X70" s="2" t="inlineStr">
        <is>
          <t>API Design</t>
        </is>
      </c>
      <c r="Y70" s="2" t="inlineStr">
        <is>
          <t>CIN-T-007, CIN-T-003</t>
        </is>
      </c>
      <c r="Z70" s="2" t="inlineStr">
        <is>
          <t>Hoàn tất kết quả gốc: Xác định các API cần có cho từng nghiệp vụ.</t>
        </is>
      </c>
      <c r="AA70" s="2" t="inlineStr">
        <is>
          <t>Kết quả gốc được kiểm tra và có bằng chứng gắn với CIN-SUB-069; ngoại lệ được ghi rõ.</t>
        </is>
      </c>
      <c r="AB70" s="2" t="inlineStr">
        <is>
          <t>Planned</t>
        </is>
      </c>
      <c r="AC70" s="2" t="inlineStr">
        <is>
          <t>Planned only; no completion evidence was transferred.</t>
        </is>
      </c>
    </row>
    <row r="71">
      <c r="A71" s="2" t="inlineStr">
        <is>
          <t>ORIG-070</t>
        </is>
      </c>
      <c r="B71" s="2" t="n">
        <v>71</v>
      </c>
      <c r="C71" s="2" t="inlineStr">
        <is>
          <t>Thiết kế API</t>
        </is>
      </c>
      <c r="D71" s="2" t="n"/>
      <c r="E71" s="2" t="inlineStr">
        <is>
          <t>Thiết kế Request / Response</t>
        </is>
      </c>
      <c r="F71" s="2" t="inlineStr">
        <is>
          <t>Xác định cấu trúc JSON gửi/nhận của từng API</t>
        </is>
      </c>
      <c r="G71" s="2" t="inlineStr">
        <is>
          <t>Bắt buộc</t>
        </is>
      </c>
      <c r="H71" s="2" t="inlineStr">
        <is>
          <t>Sprint 2</t>
        </is>
      </c>
      <c r="I71" s="2" t="inlineStr">
        <is>
          <t>API contract giúp FE và BE làm việc song song.</t>
        </is>
      </c>
      <c r="J71" s="2" t="inlineStr">
        <is>
          <t>PH-02</t>
        </is>
      </c>
      <c r="K71" s="2" t="inlineStr">
        <is>
          <t>Solution Design &amp; Foundations</t>
        </is>
      </c>
      <c r="L71" s="2" t="inlineStr">
        <is>
          <t>CIN-T-011</t>
        </is>
      </c>
      <c r="M71" s="2" t="inlineStr">
        <is>
          <t>Chốt API contract và chính sách truy cập</t>
        </is>
      </c>
      <c r="N71" s="2" t="inlineStr">
        <is>
          <t>24120244</t>
        </is>
      </c>
      <c r="O71" s="2" t="inlineStr">
        <is>
          <t>Phan Van Viet</t>
        </is>
      </c>
      <c r="P71" s="2" t="inlineStr">
        <is>
          <t>CIN-SUB-070</t>
        </is>
      </c>
      <c r="Q71" s="2" t="inlineStr">
        <is>
          <t>Sprint 2</t>
        </is>
      </c>
      <c r="R71" s="2" t="inlineStr">
        <is>
          <t>24120098</t>
        </is>
      </c>
      <c r="S71" s="2" t="inlineStr">
        <is>
          <t>Nguyen Quoc Nam</t>
        </is>
      </c>
      <c r="T71" s="3" t="n">
        <v>46312</v>
      </c>
      <c r="U71" s="3" t="n">
        <v>46325</v>
      </c>
      <c r="V71" s="2" t="n">
        <v>3</v>
      </c>
      <c r="W71" s="2" t="inlineStr">
        <is>
          <t>High</t>
        </is>
      </c>
      <c r="X71" s="2" t="inlineStr">
        <is>
          <t>API Design</t>
        </is>
      </c>
      <c r="Y71" s="2" t="inlineStr">
        <is>
          <t>CIN-T-007, CIN-T-003</t>
        </is>
      </c>
      <c r="Z71" s="2" t="inlineStr">
        <is>
          <t>Hoàn tất kết quả gốc: Xác định cấu trúc JSON gửi/nhận của từng API.</t>
        </is>
      </c>
      <c r="AA71" s="2" t="inlineStr">
        <is>
          <t>Kết quả gốc được kiểm tra và có bằng chứng gắn với CIN-SUB-070; ngoại lệ được ghi rõ.</t>
        </is>
      </c>
      <c r="AB71" s="2" t="inlineStr">
        <is>
          <t>Planned</t>
        </is>
      </c>
      <c r="AC71" s="2" t="inlineStr">
        <is>
          <t>Planned only; no completion evidence was transferred.</t>
        </is>
      </c>
    </row>
    <row r="72">
      <c r="A72" s="2" t="inlineStr">
        <is>
          <t>ORIG-071</t>
        </is>
      </c>
      <c r="B72" s="2" t="n">
        <v>72</v>
      </c>
      <c r="C72" s="2" t="inlineStr">
        <is>
          <t>Thiết kế API</t>
        </is>
      </c>
      <c r="D72" s="2" t="n"/>
      <c r="E72" s="2" t="inlineStr">
        <is>
          <t>Xác định API Authentication / Authorization</t>
        </is>
      </c>
      <c r="F72" s="2" t="inlineStr">
        <is>
          <t>Xác định API nào yêu cầu đăng nhập và Role nào được phép truy cập</t>
        </is>
      </c>
      <c r="G72" s="2" t="inlineStr">
        <is>
          <t>Bắt buộc</t>
        </is>
      </c>
      <c r="H72" s="2" t="inlineStr">
        <is>
          <t>Sprint 2</t>
        </is>
      </c>
      <c r="I72" s="2" t="inlineStr">
        <is>
          <t>API contract giúp FE và BE làm việc song song.</t>
        </is>
      </c>
      <c r="J72" s="2" t="inlineStr">
        <is>
          <t>PH-02</t>
        </is>
      </c>
      <c r="K72" s="2" t="inlineStr">
        <is>
          <t>Solution Design &amp; Foundations</t>
        </is>
      </c>
      <c r="L72" s="2" t="inlineStr">
        <is>
          <t>CIN-T-011</t>
        </is>
      </c>
      <c r="M72" s="2" t="inlineStr">
        <is>
          <t>Chốt API contract và chính sách truy cập</t>
        </is>
      </c>
      <c r="N72" s="2" t="inlineStr">
        <is>
          <t>24120244</t>
        </is>
      </c>
      <c r="O72" s="2" t="inlineStr">
        <is>
          <t>Phan Van Viet</t>
        </is>
      </c>
      <c r="P72" s="2" t="inlineStr">
        <is>
          <t>CIN-SUB-071</t>
        </is>
      </c>
      <c r="Q72" s="2" t="inlineStr">
        <is>
          <t>Sprint 2</t>
        </is>
      </c>
      <c r="R72" s="2" t="inlineStr">
        <is>
          <t>24120235</t>
        </is>
      </c>
      <c r="S72" s="2" t="inlineStr">
        <is>
          <t>Huynh Thanh Tu</t>
        </is>
      </c>
      <c r="T72" s="3" t="n">
        <v>46312</v>
      </c>
      <c r="U72" s="3" t="n">
        <v>46325</v>
      </c>
      <c r="V72" s="2" t="n">
        <v>3</v>
      </c>
      <c r="W72" s="2" t="inlineStr">
        <is>
          <t>High</t>
        </is>
      </c>
      <c r="X72" s="2" t="inlineStr">
        <is>
          <t>API Design</t>
        </is>
      </c>
      <c r="Y72" s="2" t="inlineStr">
        <is>
          <t>CIN-T-007, CIN-T-003</t>
        </is>
      </c>
      <c r="Z72" s="2" t="inlineStr">
        <is>
          <t>Hoàn tất kết quả gốc: Xác định API nào yêu cầu đăng nhập và Role nào được phép truy cập.</t>
        </is>
      </c>
      <c r="AA72" s="2" t="inlineStr">
        <is>
          <t>Kết quả gốc được kiểm tra và có bằng chứng gắn với CIN-SUB-071; ngoại lệ được ghi rõ.</t>
        </is>
      </c>
      <c r="AB72" s="2" t="inlineStr">
        <is>
          <t>Planned</t>
        </is>
      </c>
      <c r="AC72" s="2" t="inlineStr">
        <is>
          <t>Planned only; no completion evidence was transferred.</t>
        </is>
      </c>
    </row>
    <row r="73">
      <c r="A73" s="2" t="inlineStr">
        <is>
          <t>ORIG-072</t>
        </is>
      </c>
      <c r="B73" s="2" t="n">
        <v>73</v>
      </c>
      <c r="C73" s="2" t="inlineStr">
        <is>
          <t>Architecture &amp; Development Rules</t>
        </is>
      </c>
      <c r="D73" s="2" t="inlineStr">
        <is>
          <t>Chốt cách cả team code và Git</t>
        </is>
      </c>
      <c r="E73" s="2" t="inlineStr">
        <is>
          <t>Git Branching</t>
        </is>
      </c>
      <c r="F73" s="2" t="inlineStr">
        <is>
          <t>Quy định branch</t>
        </is>
      </c>
      <c r="G73" s="2" t="inlineStr">
        <is>
          <t>Bắt buộc</t>
        </is>
      </c>
      <c r="H73" s="2" t="inlineStr">
        <is>
          <t>Sprint 1</t>
        </is>
      </c>
      <c r="I73" s="2" t="inlineStr">
        <is>
          <t>Quy tắc cộng tác và cấu trúc repo cho nhóm.</t>
        </is>
      </c>
      <c r="J73" s="2" t="inlineStr">
        <is>
          <t>PH-01</t>
        </is>
      </c>
      <c r="K73" s="2" t="inlineStr">
        <is>
          <t>Discovery &amp; PA1</t>
        </is>
      </c>
      <c r="L73" s="2" t="inlineStr">
        <is>
          <t>CIN-T-012</t>
        </is>
      </c>
      <c r="M73" s="2" t="inlineStr">
        <is>
          <t>Thiết lập quy tắc cộng tác và cấu trúc repository</t>
        </is>
      </c>
      <c r="N73" s="2" t="inlineStr">
        <is>
          <t>24120098</t>
        </is>
      </c>
      <c r="O73" s="2" t="inlineStr">
        <is>
          <t>Nguyen Quoc Nam</t>
        </is>
      </c>
      <c r="P73" s="2" t="inlineStr">
        <is>
          <t>CIN-SUB-072</t>
        </is>
      </c>
      <c r="Q73" s="2" t="inlineStr">
        <is>
          <t>Sprint 1</t>
        </is>
      </c>
      <c r="R73" s="2" t="inlineStr">
        <is>
          <t>24120098</t>
        </is>
      </c>
      <c r="S73" s="2" t="inlineStr">
        <is>
          <t>Nguyen Quoc Nam</t>
        </is>
      </c>
      <c r="T73" s="3" t="n">
        <v>46298</v>
      </c>
      <c r="U73" s="3" t="n">
        <v>46311</v>
      </c>
      <c r="V73" s="2" t="n">
        <v>1</v>
      </c>
      <c r="W73" s="2" t="inlineStr">
        <is>
          <t>Medium</t>
        </is>
      </c>
      <c r="X73" s="2" t="inlineStr">
        <is>
          <t>Process / Governance</t>
        </is>
      </c>
      <c r="Y73" s="2" t="inlineStr"/>
      <c r="Z73" s="2" t="inlineStr">
        <is>
          <t>Hoàn tất kết quả gốc: Quy định branch.</t>
        </is>
      </c>
      <c r="AA73" s="2" t="inlineStr">
        <is>
          <t>Kết quả gốc được kiểm tra và có bằng chứng gắn với CIN-SUB-072; ngoại lệ được ghi rõ.</t>
        </is>
      </c>
      <c r="AB73" s="2" t="inlineStr">
        <is>
          <t>Planned</t>
        </is>
      </c>
      <c r="AC73" s="2" t="inlineStr">
        <is>
          <t>Planned only; no completion evidence was transferred.</t>
        </is>
      </c>
    </row>
    <row r="74">
      <c r="A74" s="2" t="inlineStr">
        <is>
          <t>ORIG-073</t>
        </is>
      </c>
      <c r="B74" s="2" t="n">
        <v>74</v>
      </c>
      <c r="C74" s="2" t="inlineStr">
        <is>
          <t>Architecture &amp; Development Rules</t>
        </is>
      </c>
      <c r="D74" s="2" t="n"/>
      <c r="E74" s="2" t="inlineStr">
        <is>
          <t>Commit Convention</t>
        </is>
      </c>
      <c r="F74" s="2" t="inlineStr">
        <is>
          <t>Quy định commit message</t>
        </is>
      </c>
      <c r="G74" s="2" t="inlineStr">
        <is>
          <t>Bắt buộc</t>
        </is>
      </c>
      <c r="H74" s="2" t="inlineStr">
        <is>
          <t>Sprint 1</t>
        </is>
      </c>
      <c r="I74" s="2" t="inlineStr">
        <is>
          <t>Quy tắc cộng tác và cấu trúc repo cho nhóm.</t>
        </is>
      </c>
      <c r="J74" s="2" t="inlineStr">
        <is>
          <t>PH-01</t>
        </is>
      </c>
      <c r="K74" s="2" t="inlineStr">
        <is>
          <t>Discovery &amp; PA1</t>
        </is>
      </c>
      <c r="L74" s="2" t="inlineStr">
        <is>
          <t>CIN-T-012</t>
        </is>
      </c>
      <c r="M74" s="2" t="inlineStr">
        <is>
          <t>Thiết lập quy tắc cộng tác và cấu trúc repository</t>
        </is>
      </c>
      <c r="N74" s="2" t="inlineStr">
        <is>
          <t>24120098</t>
        </is>
      </c>
      <c r="O74" s="2" t="inlineStr">
        <is>
          <t>Nguyen Quoc Nam</t>
        </is>
      </c>
      <c r="P74" s="2" t="inlineStr">
        <is>
          <t>CIN-SUB-073</t>
        </is>
      </c>
      <c r="Q74" s="2" t="inlineStr">
        <is>
          <t>Sprint 1</t>
        </is>
      </c>
      <c r="R74" s="2" t="inlineStr">
        <is>
          <t>24120244</t>
        </is>
      </c>
      <c r="S74" s="2" t="inlineStr">
        <is>
          <t>Phan Van Viet</t>
        </is>
      </c>
      <c r="T74" s="3" t="n">
        <v>46298</v>
      </c>
      <c r="U74" s="3" t="n">
        <v>46311</v>
      </c>
      <c r="V74" s="2" t="n">
        <v>1</v>
      </c>
      <c r="W74" s="2" t="inlineStr">
        <is>
          <t>Medium</t>
        </is>
      </c>
      <c r="X74" s="2" t="inlineStr">
        <is>
          <t>Process / Governance</t>
        </is>
      </c>
      <c r="Y74" s="2" t="inlineStr"/>
      <c r="Z74" s="2" t="inlineStr">
        <is>
          <t>Hoàn tất kết quả gốc: Quy định commit message.</t>
        </is>
      </c>
      <c r="AA74" s="2" t="inlineStr">
        <is>
          <t>Kết quả gốc được kiểm tra và có bằng chứng gắn với CIN-SUB-073; ngoại lệ được ghi rõ.</t>
        </is>
      </c>
      <c r="AB74" s="2" t="inlineStr">
        <is>
          <t>Planned</t>
        </is>
      </c>
      <c r="AC74" s="2" t="inlineStr">
        <is>
          <t>Planned only; no completion evidence was transferred.</t>
        </is>
      </c>
    </row>
    <row r="75">
      <c r="A75" s="2" t="inlineStr">
        <is>
          <t>ORIG-074</t>
        </is>
      </c>
      <c r="B75" s="2" t="n">
        <v>75</v>
      </c>
      <c r="C75" s="2" t="inlineStr">
        <is>
          <t>Architecture &amp; Development Rules</t>
        </is>
      </c>
      <c r="D75" s="2" t="n"/>
      <c r="E75" s="2" t="inlineStr">
        <is>
          <t>Pull Request</t>
        </is>
      </c>
      <c r="F75" s="2" t="inlineStr">
        <is>
          <t>Code review trước khi merge</t>
        </is>
      </c>
      <c r="G75" s="2" t="inlineStr">
        <is>
          <t>Bắt buộc</t>
        </is>
      </c>
      <c r="H75" s="2" t="inlineStr">
        <is>
          <t>Sprint 1</t>
        </is>
      </c>
      <c r="I75" s="2" t="inlineStr">
        <is>
          <t>Quy tắc cộng tác và cấu trúc repo cho nhóm.</t>
        </is>
      </c>
      <c r="J75" s="2" t="inlineStr">
        <is>
          <t>PH-01</t>
        </is>
      </c>
      <c r="K75" s="2" t="inlineStr">
        <is>
          <t>Discovery &amp; PA1</t>
        </is>
      </c>
      <c r="L75" s="2" t="inlineStr">
        <is>
          <t>CIN-T-012</t>
        </is>
      </c>
      <c r="M75" s="2" t="inlineStr">
        <is>
          <t>Thiết lập quy tắc cộng tác và cấu trúc repository</t>
        </is>
      </c>
      <c r="N75" s="2" t="inlineStr">
        <is>
          <t>24120098</t>
        </is>
      </c>
      <c r="O75" s="2" t="inlineStr">
        <is>
          <t>Nguyen Quoc Nam</t>
        </is>
      </c>
      <c r="P75" s="2" t="inlineStr">
        <is>
          <t>CIN-SUB-074</t>
        </is>
      </c>
      <c r="Q75" s="2" t="inlineStr">
        <is>
          <t>Sprint 1</t>
        </is>
      </c>
      <c r="R75" s="2" t="inlineStr">
        <is>
          <t>24120098</t>
        </is>
      </c>
      <c r="S75" s="2" t="inlineStr">
        <is>
          <t>Nguyen Quoc Nam</t>
        </is>
      </c>
      <c r="T75" s="3" t="n">
        <v>46298</v>
      </c>
      <c r="U75" s="3" t="n">
        <v>46311</v>
      </c>
      <c r="V75" s="2" t="n">
        <v>2</v>
      </c>
      <c r="W75" s="2" t="inlineStr">
        <is>
          <t>Medium</t>
        </is>
      </c>
      <c r="X75" s="2" t="inlineStr">
        <is>
          <t>Process / Governance</t>
        </is>
      </c>
      <c r="Y75" s="2" t="inlineStr"/>
      <c r="Z75" s="2" t="inlineStr">
        <is>
          <t>Hoàn tất kết quả gốc: Code review trước khi merge.</t>
        </is>
      </c>
      <c r="AA75" s="2" t="inlineStr">
        <is>
          <t>Kết quả gốc được kiểm tra và có bằng chứng gắn với CIN-SUB-074; ngoại lệ được ghi rõ.</t>
        </is>
      </c>
      <c r="AB75" s="2" t="inlineStr">
        <is>
          <t>Planned</t>
        </is>
      </c>
      <c r="AC75" s="2" t="inlineStr">
        <is>
          <t>Planned only; no completion evidence was transferred.</t>
        </is>
      </c>
    </row>
    <row r="76">
      <c r="A76" s="2" t="inlineStr">
        <is>
          <t>ORIG-075</t>
        </is>
      </c>
      <c r="B76" s="2" t="n">
        <v>76</v>
      </c>
      <c r="C76" s="2" t="inlineStr">
        <is>
          <t>Architecture &amp; Development Rules</t>
        </is>
      </c>
      <c r="D76" s="2" t="n"/>
      <c r="E76" s="2" t="inlineStr">
        <is>
          <t>Merge Conflict Handling</t>
        </is>
      </c>
      <c r="F76" s="2" t="inlineStr">
        <is>
          <t>Quy trình xử lý conflict</t>
        </is>
      </c>
      <c r="G76" s="2" t="inlineStr">
        <is>
          <t>Bắt buộc</t>
        </is>
      </c>
      <c r="H76" s="2" t="inlineStr">
        <is>
          <t>Sprint 1</t>
        </is>
      </c>
      <c r="I76" s="2" t="inlineStr">
        <is>
          <t>Quy tắc cộng tác và cấu trúc repo cho nhóm.</t>
        </is>
      </c>
      <c r="J76" s="2" t="inlineStr">
        <is>
          <t>PH-01</t>
        </is>
      </c>
      <c r="K76" s="2" t="inlineStr">
        <is>
          <t>Discovery &amp; PA1</t>
        </is>
      </c>
      <c r="L76" s="2" t="inlineStr">
        <is>
          <t>CIN-T-012</t>
        </is>
      </c>
      <c r="M76" s="2" t="inlineStr">
        <is>
          <t>Thiết lập quy tắc cộng tác và cấu trúc repository</t>
        </is>
      </c>
      <c r="N76" s="2" t="inlineStr">
        <is>
          <t>24120098</t>
        </is>
      </c>
      <c r="O76" s="2" t="inlineStr">
        <is>
          <t>Nguyen Quoc Nam</t>
        </is>
      </c>
      <c r="P76" s="2" t="inlineStr">
        <is>
          <t>CIN-SUB-075</t>
        </is>
      </c>
      <c r="Q76" s="2" t="inlineStr">
        <is>
          <t>Sprint 1</t>
        </is>
      </c>
      <c r="R76" s="2" t="inlineStr">
        <is>
          <t>24120235</t>
        </is>
      </c>
      <c r="S76" s="2" t="inlineStr">
        <is>
          <t>Huynh Thanh Tu</t>
        </is>
      </c>
      <c r="T76" s="3" t="n">
        <v>46298</v>
      </c>
      <c r="U76" s="3" t="n">
        <v>46311</v>
      </c>
      <c r="V76" s="2" t="n">
        <v>1</v>
      </c>
      <c r="W76" s="2" t="inlineStr">
        <is>
          <t>Medium</t>
        </is>
      </c>
      <c r="X76" s="2" t="inlineStr">
        <is>
          <t>Process / Governance</t>
        </is>
      </c>
      <c r="Y76" s="2" t="inlineStr"/>
      <c r="Z76" s="2" t="inlineStr">
        <is>
          <t>Hoàn tất kết quả gốc: Quy trình xử lý conflict.</t>
        </is>
      </c>
      <c r="AA76" s="2" t="inlineStr">
        <is>
          <t>Kết quả gốc được kiểm tra và có bằng chứng gắn với CIN-SUB-075; ngoại lệ được ghi rõ.</t>
        </is>
      </c>
      <c r="AB76" s="2" t="inlineStr">
        <is>
          <t>Planned</t>
        </is>
      </c>
      <c r="AC76" s="2" t="inlineStr">
        <is>
          <t>Planned only; no completion evidence was transferred.</t>
        </is>
      </c>
    </row>
    <row r="77">
      <c r="A77" s="2" t="inlineStr">
        <is>
          <t>ORIG-076</t>
        </is>
      </c>
      <c r="B77" s="2" t="n">
        <v>77</v>
      </c>
      <c r="C77" s="2" t="inlineStr">
        <is>
          <t>Architecture &amp; Development Rules</t>
        </is>
      </c>
      <c r="D77" s="2" t="n"/>
      <c r="E77" s="2" t="inlineStr">
        <is>
          <t>Repository Structure</t>
        </is>
      </c>
      <c r="F77" s="2" t="inlineStr">
        <is>
          <t>Tổ chức source code</t>
        </is>
      </c>
      <c r="G77" s="2" t="inlineStr">
        <is>
          <t>Bắt buộc</t>
        </is>
      </c>
      <c r="H77" s="2" t="inlineStr">
        <is>
          <t>Sprint 1</t>
        </is>
      </c>
      <c r="I77" s="2" t="inlineStr">
        <is>
          <t>Quy tắc cộng tác và cấu trúc repo cho nhóm.</t>
        </is>
      </c>
      <c r="J77" s="2" t="inlineStr">
        <is>
          <t>PH-01</t>
        </is>
      </c>
      <c r="K77" s="2" t="inlineStr">
        <is>
          <t>Discovery &amp; PA1</t>
        </is>
      </c>
      <c r="L77" s="2" t="inlineStr">
        <is>
          <t>CIN-T-012</t>
        </is>
      </c>
      <c r="M77" s="2" t="inlineStr">
        <is>
          <t>Thiết lập quy tắc cộng tác và cấu trúc repository</t>
        </is>
      </c>
      <c r="N77" s="2" t="inlineStr">
        <is>
          <t>24120098</t>
        </is>
      </c>
      <c r="O77" s="2" t="inlineStr">
        <is>
          <t>Nguyen Quoc Nam</t>
        </is>
      </c>
      <c r="P77" s="2" t="inlineStr">
        <is>
          <t>CIN-SUB-076</t>
        </is>
      </c>
      <c r="Q77" s="2" t="inlineStr">
        <is>
          <t>Sprint 1</t>
        </is>
      </c>
      <c r="R77" s="2" t="inlineStr">
        <is>
          <t>24120244</t>
        </is>
      </c>
      <c r="S77" s="2" t="inlineStr">
        <is>
          <t>Phan Van Viet</t>
        </is>
      </c>
      <c r="T77" s="3" t="n">
        <v>46298</v>
      </c>
      <c r="U77" s="3" t="n">
        <v>46311</v>
      </c>
      <c r="V77" s="2" t="n">
        <v>2</v>
      </c>
      <c r="W77" s="2" t="inlineStr">
        <is>
          <t>Medium</t>
        </is>
      </c>
      <c r="X77" s="2" t="inlineStr">
        <is>
          <t>Process / Governance</t>
        </is>
      </c>
      <c r="Y77" s="2" t="inlineStr"/>
      <c r="Z77" s="2" t="inlineStr">
        <is>
          <t>Hoàn tất kết quả gốc: Tổ chức source code.</t>
        </is>
      </c>
      <c r="AA77" s="2" t="inlineStr">
        <is>
          <t>Kết quả gốc được kiểm tra và có bằng chứng gắn với CIN-SUB-076; ngoại lệ được ghi rõ.</t>
        </is>
      </c>
      <c r="AB77" s="2" t="inlineStr">
        <is>
          <t>Planned</t>
        </is>
      </c>
      <c r="AC77" s="2" t="inlineStr">
        <is>
          <t>Planned only; no completion evidence was transferred.</t>
        </is>
      </c>
    </row>
    <row r="78">
      <c r="A78" s="2" t="inlineStr">
        <is>
          <t>ORIG-077</t>
        </is>
      </c>
      <c r="B78" s="2" t="n">
        <v>78</v>
      </c>
      <c r="C78" s="2" t="inlineStr">
        <is>
          <t>Architecture &amp; Development Rules</t>
        </is>
      </c>
      <c r="D78" s="2" t="n"/>
      <c r="E78" s="2" t="inlineStr">
        <is>
          <t>Secrets Check</t>
        </is>
      </c>
      <c r="F78" s="2" t="inlineStr">
        <is>
          <t>Kiểm tra secrets trước khi push</t>
        </is>
      </c>
      <c r="G78" s="2" t="inlineStr">
        <is>
          <t>Bắt buộc</t>
        </is>
      </c>
      <c r="H78" s="2" t="inlineStr">
        <is>
          <t>Sprint 1</t>
        </is>
      </c>
      <c r="I78" s="2" t="inlineStr">
        <is>
          <t>Quy tắc cộng tác và cấu trúc repo cho nhóm.</t>
        </is>
      </c>
      <c r="J78" s="2" t="inlineStr">
        <is>
          <t>PH-01</t>
        </is>
      </c>
      <c r="K78" s="2" t="inlineStr">
        <is>
          <t>Discovery &amp; PA1</t>
        </is>
      </c>
      <c r="L78" s="2" t="inlineStr">
        <is>
          <t>CIN-T-012</t>
        </is>
      </c>
      <c r="M78" s="2" t="inlineStr">
        <is>
          <t>Thiết lập quy tắc cộng tác và cấu trúc repository</t>
        </is>
      </c>
      <c r="N78" s="2" t="inlineStr">
        <is>
          <t>24120098</t>
        </is>
      </c>
      <c r="O78" s="2" t="inlineStr">
        <is>
          <t>Nguyen Quoc Nam</t>
        </is>
      </c>
      <c r="P78" s="2" t="inlineStr">
        <is>
          <t>CIN-SUB-077</t>
        </is>
      </c>
      <c r="Q78" s="2" t="inlineStr">
        <is>
          <t>Sprint 1</t>
        </is>
      </c>
      <c r="R78" s="2" t="inlineStr">
        <is>
          <t>24120235</t>
        </is>
      </c>
      <c r="S78" s="2" t="inlineStr">
        <is>
          <t>Huynh Thanh Tu</t>
        </is>
      </c>
      <c r="T78" s="3" t="n">
        <v>46298</v>
      </c>
      <c r="U78" s="3" t="n">
        <v>46311</v>
      </c>
      <c r="V78" s="2" t="n">
        <v>1</v>
      </c>
      <c r="W78" s="2" t="inlineStr">
        <is>
          <t>Medium</t>
        </is>
      </c>
      <c r="X78" s="2" t="inlineStr">
        <is>
          <t>Process / Governance</t>
        </is>
      </c>
      <c r="Y78" s="2" t="inlineStr"/>
      <c r="Z78" s="2" t="inlineStr">
        <is>
          <t>Hoàn tất kết quả gốc: Kiểm tra secrets trước khi push.</t>
        </is>
      </c>
      <c r="AA78" s="2" t="inlineStr">
        <is>
          <t>Kết quả gốc được kiểm tra và có bằng chứng gắn với CIN-SUB-077; ngoại lệ được ghi rõ.</t>
        </is>
      </c>
      <c r="AB78" s="2" t="inlineStr">
        <is>
          <t>Planned</t>
        </is>
      </c>
      <c r="AC78" s="2" t="inlineStr">
        <is>
          <t>Planned only; no completion evidence was transferred.</t>
        </is>
      </c>
    </row>
    <row r="79">
      <c r="A79" s="2" t="inlineStr">
        <is>
          <t>ORIG-078</t>
        </is>
      </c>
      <c r="B79" s="2" t="n">
        <v>79</v>
      </c>
      <c r="C79" s="2" t="inlineStr">
        <is>
          <t>Backend – EF Core</t>
        </is>
      </c>
      <c r="D79" s="2" t="inlineStr">
        <is>
          <t>Hiện thực database bằng EF Core</t>
        </is>
      </c>
      <c r="E79" s="2" t="inlineStr">
        <is>
          <t>Xây dựng Entity Models</t>
        </is>
      </c>
      <c r="F79" s="2" t="inlineStr">
        <is>
          <t>Tạo toàn bộ Entity</t>
        </is>
      </c>
      <c r="G79" s="2" t="inlineStr">
        <is>
          <t>Bắt buộc</t>
        </is>
      </c>
      <c r="H79" s="2" t="inlineStr">
        <is>
          <t>Sprint 3</t>
        </is>
      </c>
      <c r="I79" s="2" t="inlineStr">
        <is>
          <t>Phần code có thể chuyển sang Sprint 4 nếu PA3 chỉ yêu cầu thiết kế.</t>
        </is>
      </c>
      <c r="J79" s="2" t="inlineStr">
        <is>
          <t>PH-03</t>
        </is>
      </c>
      <c r="K79" s="2" t="inlineStr">
        <is>
          <t>Core Product Build</t>
        </is>
      </c>
      <c r="L79" s="2" t="inlineStr">
        <is>
          <t>CIN-T-013</t>
        </is>
      </c>
      <c r="M79" s="2" t="inlineStr">
        <is>
          <t>Xây persistence và khởi tạo database bằng EF Core</t>
        </is>
      </c>
      <c r="N79" s="2" t="inlineStr">
        <is>
          <t>24120271</t>
        </is>
      </c>
      <c r="O79" s="2" t="inlineStr">
        <is>
          <t>Nguyen Trung Chinh</t>
        </is>
      </c>
      <c r="P79" s="2" t="inlineStr">
        <is>
          <t>CIN-SUB-078</t>
        </is>
      </c>
      <c r="Q79" s="2" t="inlineStr">
        <is>
          <t>Sprint 3</t>
        </is>
      </c>
      <c r="R79" s="2" t="inlineStr">
        <is>
          <t>24120255</t>
        </is>
      </c>
      <c r="S79" s="2" t="inlineStr">
        <is>
          <t>Tran Thien An</t>
        </is>
      </c>
      <c r="T79" s="3" t="n">
        <v>46326</v>
      </c>
      <c r="U79" s="3" t="n">
        <v>46339</v>
      </c>
      <c r="V79" s="2" t="n">
        <v>2</v>
      </c>
      <c r="W79" s="2" t="inlineStr">
        <is>
          <t>High</t>
        </is>
      </c>
      <c r="X79" s="2" t="inlineStr">
        <is>
          <t>Backend Development</t>
        </is>
      </c>
      <c r="Y79" s="2" t="inlineStr">
        <is>
          <t>CIN-T-007, CIN-T-037</t>
        </is>
      </c>
      <c r="Z79" s="2" t="inlineStr">
        <is>
          <t>Hoàn tất kết quả gốc: Tạo toàn bộ Entity.</t>
        </is>
      </c>
      <c r="AA79" s="2" t="inlineStr">
        <is>
          <t>Kết quả gốc được kiểm tra và có bằng chứng gắn với CIN-SUB-078; ngoại lệ được ghi rõ.</t>
        </is>
      </c>
      <c r="AB79" s="2" t="inlineStr">
        <is>
          <t>Planned</t>
        </is>
      </c>
      <c r="AC79" s="2" t="inlineStr">
        <is>
          <t>Planned only; no completion evidence was transferred. Confirm that limited foundation coding is allowed before PA3 design baseline.</t>
        </is>
      </c>
    </row>
    <row r="80">
      <c r="A80" s="2" t="inlineStr">
        <is>
          <t>ORIG-079</t>
        </is>
      </c>
      <c r="B80" s="2" t="n">
        <v>80</v>
      </c>
      <c r="C80" s="2" t="inlineStr">
        <is>
          <t>Backend – EF Core</t>
        </is>
      </c>
      <c r="D80" s="2" t="n"/>
      <c r="E80" s="2" t="inlineStr">
        <is>
          <t>Xây dựng AppDbContext</t>
        </is>
      </c>
      <c r="F80" s="2" t="inlineStr">
        <is>
          <t>DbSet và cấu hình database</t>
        </is>
      </c>
      <c r="G80" s="2" t="inlineStr">
        <is>
          <t>Bắt buộc</t>
        </is>
      </c>
      <c r="H80" s="2" t="inlineStr">
        <is>
          <t>Sprint 3</t>
        </is>
      </c>
      <c r="I80" s="2" t="inlineStr">
        <is>
          <t>Phần code có thể chuyển sang Sprint 4 nếu PA3 chỉ yêu cầu thiết kế.</t>
        </is>
      </c>
      <c r="J80" s="2" t="inlineStr">
        <is>
          <t>PH-03</t>
        </is>
      </c>
      <c r="K80" s="2" t="inlineStr">
        <is>
          <t>Core Product Build</t>
        </is>
      </c>
      <c r="L80" s="2" t="inlineStr">
        <is>
          <t>CIN-T-013</t>
        </is>
      </c>
      <c r="M80" s="2" t="inlineStr">
        <is>
          <t>Xây persistence và khởi tạo database bằng EF Core</t>
        </is>
      </c>
      <c r="N80" s="2" t="inlineStr">
        <is>
          <t>24120271</t>
        </is>
      </c>
      <c r="O80" s="2" t="inlineStr">
        <is>
          <t>Nguyen Trung Chinh</t>
        </is>
      </c>
      <c r="P80" s="2" t="inlineStr">
        <is>
          <t>CIN-SUB-079</t>
        </is>
      </c>
      <c r="Q80" s="2" t="inlineStr">
        <is>
          <t>Sprint 3</t>
        </is>
      </c>
      <c r="R80" s="2" t="inlineStr">
        <is>
          <t>24120271</t>
        </is>
      </c>
      <c r="S80" s="2" t="inlineStr">
        <is>
          <t>Nguyen Trung Chinh</t>
        </is>
      </c>
      <c r="T80" s="3" t="n">
        <v>46326</v>
      </c>
      <c r="U80" s="3" t="n">
        <v>46339</v>
      </c>
      <c r="V80" s="2" t="n">
        <v>3</v>
      </c>
      <c r="W80" s="2" t="inlineStr">
        <is>
          <t>High</t>
        </is>
      </c>
      <c r="X80" s="2" t="inlineStr">
        <is>
          <t>Backend Development</t>
        </is>
      </c>
      <c r="Y80" s="2" t="inlineStr">
        <is>
          <t>CIN-T-007, CIN-T-037</t>
        </is>
      </c>
      <c r="Z80" s="2" t="inlineStr">
        <is>
          <t>Hoàn tất kết quả gốc: DbSet và cấu hình database.</t>
        </is>
      </c>
      <c r="AA80" s="2" t="inlineStr">
        <is>
          <t>Kết quả gốc được kiểm tra và có bằng chứng gắn với CIN-SUB-079; ngoại lệ được ghi rõ.</t>
        </is>
      </c>
      <c r="AB80" s="2" t="inlineStr">
        <is>
          <t>Planned</t>
        </is>
      </c>
      <c r="AC80" s="2" t="inlineStr">
        <is>
          <t>Planned only; no completion evidence was transferred. Confirm that limited foundation coding is allowed before PA3 design baseline.</t>
        </is>
      </c>
    </row>
    <row r="81">
      <c r="A81" s="2" t="inlineStr">
        <is>
          <t>ORIG-080</t>
        </is>
      </c>
      <c r="B81" s="2" t="n">
        <v>81</v>
      </c>
      <c r="C81" s="2" t="inlineStr">
        <is>
          <t>Backend – EF Core</t>
        </is>
      </c>
      <c r="D81" s="2" t="n"/>
      <c r="E81" s="2" t="inlineStr">
        <is>
          <t>Cấu hình Relationships</t>
        </is>
      </c>
      <c r="F81" s="2" t="inlineStr">
        <is>
          <t>Fluent API / Data Annotation</t>
        </is>
      </c>
      <c r="G81" s="2" t="inlineStr">
        <is>
          <t>Bắt buộc</t>
        </is>
      </c>
      <c r="H81" s="2" t="inlineStr">
        <is>
          <t>Sprint 3</t>
        </is>
      </c>
      <c r="I81" s="2" t="inlineStr">
        <is>
          <t>Phần code có thể chuyển sang Sprint 4 nếu PA3 chỉ yêu cầu thiết kế.</t>
        </is>
      </c>
      <c r="J81" s="2" t="inlineStr">
        <is>
          <t>PH-03</t>
        </is>
      </c>
      <c r="K81" s="2" t="inlineStr">
        <is>
          <t>Core Product Build</t>
        </is>
      </c>
      <c r="L81" s="2" t="inlineStr">
        <is>
          <t>CIN-T-013</t>
        </is>
      </c>
      <c r="M81" s="2" t="inlineStr">
        <is>
          <t>Xây persistence và khởi tạo database bằng EF Core</t>
        </is>
      </c>
      <c r="N81" s="2" t="inlineStr">
        <is>
          <t>24120271</t>
        </is>
      </c>
      <c r="O81" s="2" t="inlineStr">
        <is>
          <t>Nguyen Trung Chinh</t>
        </is>
      </c>
      <c r="P81" s="2" t="inlineStr">
        <is>
          <t>CIN-SUB-080</t>
        </is>
      </c>
      <c r="Q81" s="2" t="inlineStr">
        <is>
          <t>Sprint 3</t>
        </is>
      </c>
      <c r="R81" s="2" t="inlineStr">
        <is>
          <t>24120244</t>
        </is>
      </c>
      <c r="S81" s="2" t="inlineStr">
        <is>
          <t>Phan Van Viet</t>
        </is>
      </c>
      <c r="T81" s="3" t="n">
        <v>46326</v>
      </c>
      <c r="U81" s="3" t="n">
        <v>46339</v>
      </c>
      <c r="V81" s="2" t="n">
        <v>3</v>
      </c>
      <c r="W81" s="2" t="inlineStr">
        <is>
          <t>High</t>
        </is>
      </c>
      <c r="X81" s="2" t="inlineStr">
        <is>
          <t>Backend Development</t>
        </is>
      </c>
      <c r="Y81" s="2" t="inlineStr">
        <is>
          <t>CIN-T-007, CIN-T-037</t>
        </is>
      </c>
      <c r="Z81" s="2" t="inlineStr">
        <is>
          <t>Hoàn tất kết quả gốc: Fluent API / Data Annotation.</t>
        </is>
      </c>
      <c r="AA81" s="2" t="inlineStr">
        <is>
          <t>Kết quả gốc được kiểm tra và có bằng chứng gắn với CIN-SUB-080; ngoại lệ được ghi rõ.</t>
        </is>
      </c>
      <c r="AB81" s="2" t="inlineStr">
        <is>
          <t>Planned</t>
        </is>
      </c>
      <c r="AC81" s="2" t="inlineStr">
        <is>
          <t>Planned only; no completion evidence was transferred. Confirm that limited foundation coding is allowed before PA3 design baseline.</t>
        </is>
      </c>
    </row>
    <row r="82">
      <c r="A82" s="2" t="inlineStr">
        <is>
          <t>ORIG-081</t>
        </is>
      </c>
      <c r="B82" s="2" t="n">
        <v>82</v>
      </c>
      <c r="C82" s="2" t="inlineStr">
        <is>
          <t>Backend – EF Core</t>
        </is>
      </c>
      <c r="D82" s="2" t="n"/>
      <c r="E82" s="2" t="inlineStr">
        <is>
          <t>Cấu hình PostgreSQL</t>
        </is>
      </c>
      <c r="F82" s="2" t="inlineStr">
        <is>
          <t>Npgsql + Connection String</t>
        </is>
      </c>
      <c r="G82" s="2" t="inlineStr">
        <is>
          <t>Bắt buộc</t>
        </is>
      </c>
      <c r="H82" s="2" t="inlineStr">
        <is>
          <t>Sprint 3</t>
        </is>
      </c>
      <c r="I82" s="2" t="inlineStr">
        <is>
          <t>Phần code có thể chuyển sang Sprint 4 nếu PA3 chỉ yêu cầu thiết kế.</t>
        </is>
      </c>
      <c r="J82" s="2" t="inlineStr">
        <is>
          <t>PH-03</t>
        </is>
      </c>
      <c r="K82" s="2" t="inlineStr">
        <is>
          <t>Core Product Build</t>
        </is>
      </c>
      <c r="L82" s="2" t="inlineStr">
        <is>
          <t>CIN-T-013</t>
        </is>
      </c>
      <c r="M82" s="2" t="inlineStr">
        <is>
          <t>Xây persistence và khởi tạo database bằng EF Core</t>
        </is>
      </c>
      <c r="N82" s="2" t="inlineStr">
        <is>
          <t>24120271</t>
        </is>
      </c>
      <c r="O82" s="2" t="inlineStr">
        <is>
          <t>Nguyen Trung Chinh</t>
        </is>
      </c>
      <c r="P82" s="2" t="inlineStr">
        <is>
          <t>CIN-SUB-081</t>
        </is>
      </c>
      <c r="Q82" s="2" t="inlineStr">
        <is>
          <t>Sprint 3</t>
        </is>
      </c>
      <c r="R82" s="2" t="inlineStr">
        <is>
          <t>24120098</t>
        </is>
      </c>
      <c r="S82" s="2" t="inlineStr">
        <is>
          <t>Nguyen Quoc Nam</t>
        </is>
      </c>
      <c r="T82" s="3" t="n">
        <v>46326</v>
      </c>
      <c r="U82" s="3" t="n">
        <v>46339</v>
      </c>
      <c r="V82" s="2" t="n">
        <v>2</v>
      </c>
      <c r="W82" s="2" t="inlineStr">
        <is>
          <t>High</t>
        </is>
      </c>
      <c r="X82" s="2" t="inlineStr">
        <is>
          <t>Backend Development</t>
        </is>
      </c>
      <c r="Y82" s="2" t="inlineStr">
        <is>
          <t>CIN-T-007, CIN-T-037</t>
        </is>
      </c>
      <c r="Z82" s="2" t="inlineStr">
        <is>
          <t>Hoàn tất kết quả gốc: Npgsql + Connection String.</t>
        </is>
      </c>
      <c r="AA82" s="2" t="inlineStr">
        <is>
          <t>Kết quả gốc được kiểm tra và có bằng chứng gắn với CIN-SUB-081; ngoại lệ được ghi rõ.</t>
        </is>
      </c>
      <c r="AB82" s="2" t="inlineStr">
        <is>
          <t>Planned</t>
        </is>
      </c>
      <c r="AC82" s="2" t="inlineStr">
        <is>
          <t>Planned only; no completion evidence was transferred. Confirm that limited foundation coding is allowed before PA3 design baseline.</t>
        </is>
      </c>
    </row>
    <row r="83">
      <c r="A83" s="2" t="inlineStr">
        <is>
          <t>ORIG-082</t>
        </is>
      </c>
      <c r="B83" s="2" t="n">
        <v>83</v>
      </c>
      <c r="C83" s="2" t="inlineStr">
        <is>
          <t>Backend – EF Core</t>
        </is>
      </c>
      <c r="D83" s="2" t="n"/>
      <c r="E83" s="2" t="inlineStr">
        <is>
          <t>Migration</t>
        </is>
      </c>
      <c r="F83" s="2" t="inlineStr">
        <is>
          <t>Tạo và cập nhật database</t>
        </is>
      </c>
      <c r="G83" s="2" t="inlineStr">
        <is>
          <t>Bắt buộc</t>
        </is>
      </c>
      <c r="H83" s="2" t="inlineStr">
        <is>
          <t>Sprint 3</t>
        </is>
      </c>
      <c r="I83" s="2" t="inlineStr">
        <is>
          <t>Phần code có thể chuyển sang Sprint 4 nếu PA3 chỉ yêu cầu thiết kế.</t>
        </is>
      </c>
      <c r="J83" s="2" t="inlineStr">
        <is>
          <t>PH-03</t>
        </is>
      </c>
      <c r="K83" s="2" t="inlineStr">
        <is>
          <t>Core Product Build</t>
        </is>
      </c>
      <c r="L83" s="2" t="inlineStr">
        <is>
          <t>CIN-T-013</t>
        </is>
      </c>
      <c r="M83" s="2" t="inlineStr">
        <is>
          <t>Xây persistence và khởi tạo database bằng EF Core</t>
        </is>
      </c>
      <c r="N83" s="2" t="inlineStr">
        <is>
          <t>24120271</t>
        </is>
      </c>
      <c r="O83" s="2" t="inlineStr">
        <is>
          <t>Nguyen Trung Chinh</t>
        </is>
      </c>
      <c r="P83" s="2" t="inlineStr">
        <is>
          <t>CIN-SUB-082</t>
        </is>
      </c>
      <c r="Q83" s="2" t="inlineStr">
        <is>
          <t>Sprint 3</t>
        </is>
      </c>
      <c r="R83" s="2" t="inlineStr">
        <is>
          <t>24120235</t>
        </is>
      </c>
      <c r="S83" s="2" t="inlineStr">
        <is>
          <t>Huynh Thanh Tu</t>
        </is>
      </c>
      <c r="T83" s="3" t="n">
        <v>46326</v>
      </c>
      <c r="U83" s="3" t="n">
        <v>46339</v>
      </c>
      <c r="V83" s="2" t="n">
        <v>3</v>
      </c>
      <c r="W83" s="2" t="inlineStr">
        <is>
          <t>High</t>
        </is>
      </c>
      <c r="X83" s="2" t="inlineStr">
        <is>
          <t>Backend Development</t>
        </is>
      </c>
      <c r="Y83" s="2" t="inlineStr">
        <is>
          <t>CIN-T-007, CIN-T-037</t>
        </is>
      </c>
      <c r="Z83" s="2" t="inlineStr">
        <is>
          <t>Hoàn tất kết quả gốc: Tạo và cập nhật database.</t>
        </is>
      </c>
      <c r="AA83" s="2" t="inlineStr">
        <is>
          <t>Kết quả gốc được kiểm tra và có bằng chứng gắn với CIN-SUB-082; ngoại lệ được ghi rõ.</t>
        </is>
      </c>
      <c r="AB83" s="2" t="inlineStr">
        <is>
          <t>Planned</t>
        </is>
      </c>
      <c r="AC83" s="2" t="inlineStr">
        <is>
          <t>Planned only; no completion evidence was transferred. Confirm that limited foundation coding is allowed before PA3 design baseline.</t>
        </is>
      </c>
    </row>
    <row r="84">
      <c r="A84" s="2" t="inlineStr">
        <is>
          <t>ORIG-083</t>
        </is>
      </c>
      <c r="B84" s="2" t="n">
        <v>84</v>
      </c>
      <c r="C84" s="2" t="inlineStr">
        <is>
          <t>Backend – EF Core</t>
        </is>
      </c>
      <c r="D84" s="2" t="n"/>
      <c r="E84" s="2" t="inlineStr">
        <is>
          <t>Seed Data</t>
        </is>
      </c>
      <c r="F84" s="2" t="inlineStr">
        <is>
          <t>Phim, phòng, ghế, suất chiếu, user,...</t>
        </is>
      </c>
      <c r="G84" s="2" t="inlineStr">
        <is>
          <t>Bắt buộc</t>
        </is>
      </c>
      <c r="H84" s="2" t="inlineStr">
        <is>
          <t>Sprint 3</t>
        </is>
      </c>
      <c r="I84" s="2" t="inlineStr">
        <is>
          <t>Phần code có thể chuyển sang Sprint 4 nếu PA3 chỉ yêu cầu thiết kế.</t>
        </is>
      </c>
      <c r="J84" s="2" t="inlineStr">
        <is>
          <t>PH-03</t>
        </is>
      </c>
      <c r="K84" s="2" t="inlineStr">
        <is>
          <t>Core Product Build</t>
        </is>
      </c>
      <c r="L84" s="2" t="inlineStr">
        <is>
          <t>CIN-T-013</t>
        </is>
      </c>
      <c r="M84" s="2" t="inlineStr">
        <is>
          <t>Xây persistence và khởi tạo database bằng EF Core</t>
        </is>
      </c>
      <c r="N84" s="2" t="inlineStr">
        <is>
          <t>24120271</t>
        </is>
      </c>
      <c r="O84" s="2" t="inlineStr">
        <is>
          <t>Nguyen Trung Chinh</t>
        </is>
      </c>
      <c r="P84" s="2" t="inlineStr">
        <is>
          <t>CIN-SUB-083</t>
        </is>
      </c>
      <c r="Q84" s="2" t="inlineStr">
        <is>
          <t>Sprint 3</t>
        </is>
      </c>
      <c r="R84" s="2" t="inlineStr">
        <is>
          <t>24120255</t>
        </is>
      </c>
      <c r="S84" s="2" t="inlineStr">
        <is>
          <t>Tran Thien An</t>
        </is>
      </c>
      <c r="T84" s="3" t="n">
        <v>46326</v>
      </c>
      <c r="U84" s="3" t="n">
        <v>46339</v>
      </c>
      <c r="V84" s="2" t="n">
        <v>2</v>
      </c>
      <c r="W84" s="2" t="inlineStr">
        <is>
          <t>High</t>
        </is>
      </c>
      <c r="X84" s="2" t="inlineStr">
        <is>
          <t>Backend Development</t>
        </is>
      </c>
      <c r="Y84" s="2" t="inlineStr">
        <is>
          <t>CIN-T-007, CIN-T-037</t>
        </is>
      </c>
      <c r="Z84" s="2" t="inlineStr">
        <is>
          <t>Hoàn tất kết quả gốc: Phim, phòng, ghế, suất chiếu, user,....</t>
        </is>
      </c>
      <c r="AA84" s="2" t="inlineStr">
        <is>
          <t>Kết quả gốc được kiểm tra và có bằng chứng gắn với CIN-SUB-083; ngoại lệ được ghi rõ.</t>
        </is>
      </c>
      <c r="AB84" s="2" t="inlineStr">
        <is>
          <t>Planned</t>
        </is>
      </c>
      <c r="AC84" s="2" t="inlineStr">
        <is>
          <t>Planned only; no completion evidence was transferred. Confirm that limited foundation coding is allowed before PA3 design baseline.</t>
        </is>
      </c>
    </row>
    <row r="85">
      <c r="A85" s="2" t="inlineStr">
        <is>
          <t>ORIG-084</t>
        </is>
      </c>
      <c r="B85" s="2" t="n">
        <v>85</v>
      </c>
      <c r="C85" s="2" t="inlineStr">
        <is>
          <t>Backend – EF Core</t>
        </is>
      </c>
      <c r="D85" s="2" t="n"/>
      <c r="E85" s="2" t="inlineStr">
        <is>
          <t>Database Initialization</t>
        </is>
      </c>
      <c r="F85" s="2" t="inlineStr">
        <is>
          <t>Migration + Seed khi khởi chạy</t>
        </is>
      </c>
      <c r="G85" s="2" t="inlineStr">
        <is>
          <t>Bắt buộc</t>
        </is>
      </c>
      <c r="H85" s="2" t="inlineStr">
        <is>
          <t>Sprint 3</t>
        </is>
      </c>
      <c r="I85" s="2" t="inlineStr">
        <is>
          <t>Phần code có thể chuyển sang Sprint 4 nếu PA3 chỉ yêu cầu thiết kế.</t>
        </is>
      </c>
      <c r="J85" s="2" t="inlineStr">
        <is>
          <t>PH-03</t>
        </is>
      </c>
      <c r="K85" s="2" t="inlineStr">
        <is>
          <t>Core Product Build</t>
        </is>
      </c>
      <c r="L85" s="2" t="inlineStr">
        <is>
          <t>CIN-T-013</t>
        </is>
      </c>
      <c r="M85" s="2" t="inlineStr">
        <is>
          <t>Xây persistence và khởi tạo database bằng EF Core</t>
        </is>
      </c>
      <c r="N85" s="2" t="inlineStr">
        <is>
          <t>24120271</t>
        </is>
      </c>
      <c r="O85" s="2" t="inlineStr">
        <is>
          <t>Nguyen Trung Chinh</t>
        </is>
      </c>
      <c r="P85" s="2" t="inlineStr">
        <is>
          <t>CIN-SUB-084</t>
        </is>
      </c>
      <c r="Q85" s="2" t="inlineStr">
        <is>
          <t>Sprint 3</t>
        </is>
      </c>
      <c r="R85" s="2" t="inlineStr">
        <is>
          <t>24120098</t>
        </is>
      </c>
      <c r="S85" s="2" t="inlineStr">
        <is>
          <t>Nguyen Quoc Nam</t>
        </is>
      </c>
      <c r="T85" s="3" t="n">
        <v>46326</v>
      </c>
      <c r="U85" s="3" t="n">
        <v>46339</v>
      </c>
      <c r="V85" s="2" t="n">
        <v>3</v>
      </c>
      <c r="W85" s="2" t="inlineStr">
        <is>
          <t>High</t>
        </is>
      </c>
      <c r="X85" s="2" t="inlineStr">
        <is>
          <t>Backend Development</t>
        </is>
      </c>
      <c r="Y85" s="2" t="inlineStr">
        <is>
          <t>CIN-T-007, CIN-T-037</t>
        </is>
      </c>
      <c r="Z85" s="2" t="inlineStr">
        <is>
          <t>Hoàn tất kết quả gốc: Migration + Seed khi khởi chạy.</t>
        </is>
      </c>
      <c r="AA85" s="2" t="inlineStr">
        <is>
          <t>Kết quả gốc được kiểm tra và có bằng chứng gắn với CIN-SUB-084; ngoại lệ được ghi rõ.</t>
        </is>
      </c>
      <c r="AB85" s="2" t="inlineStr">
        <is>
          <t>Planned</t>
        </is>
      </c>
      <c r="AC85" s="2" t="inlineStr">
        <is>
          <t>Planned only; no completion evidence was transferred. Confirm that limited foundation coding is allowed before PA3 design baseline.</t>
        </is>
      </c>
    </row>
    <row r="86">
      <c r="A86" s="2" t="inlineStr">
        <is>
          <t>ORIG-085</t>
        </is>
      </c>
      <c r="B86" s="2" t="n">
        <v>86</v>
      </c>
      <c r="C86" s="2" t="inlineStr">
        <is>
          <t>Backend – EF Core</t>
        </is>
      </c>
      <c r="D86" s="2" t="n"/>
      <c r="E86" s="2" t="inlineStr">
        <is>
          <t>Transaction</t>
        </is>
      </c>
      <c r="F86" s="2" t="inlineStr">
        <is>
          <t>Đảm bảo các thao tác nhiều bước được xử lý nguyên tử</t>
        </is>
      </c>
      <c r="G86" s="2" t="inlineStr">
        <is>
          <t>Bắt buộc</t>
        </is>
      </c>
      <c r="H86" s="2" t="inlineStr">
        <is>
          <t>Sprint 3</t>
        </is>
      </c>
      <c r="I86" s="2" t="inlineStr">
        <is>
          <t>Phần code có thể chuyển sang Sprint 4 nếu PA3 chỉ yêu cầu thiết kế.</t>
        </is>
      </c>
      <c r="J86" s="2" t="inlineStr">
        <is>
          <t>PH-03</t>
        </is>
      </c>
      <c r="K86" s="2" t="inlineStr">
        <is>
          <t>Core Product Build</t>
        </is>
      </c>
      <c r="L86" s="2" t="inlineStr">
        <is>
          <t>CIN-T-013</t>
        </is>
      </c>
      <c r="M86" s="2" t="inlineStr">
        <is>
          <t>Xây persistence và khởi tạo database bằng EF Core</t>
        </is>
      </c>
      <c r="N86" s="2" t="inlineStr">
        <is>
          <t>24120271</t>
        </is>
      </c>
      <c r="O86" s="2" t="inlineStr">
        <is>
          <t>Nguyen Trung Chinh</t>
        </is>
      </c>
      <c r="P86" s="2" t="inlineStr">
        <is>
          <t>CIN-SUB-085</t>
        </is>
      </c>
      <c r="Q86" s="2" t="inlineStr">
        <is>
          <t>Sprint 3</t>
        </is>
      </c>
      <c r="R86" s="2" t="inlineStr">
        <is>
          <t>24120271</t>
        </is>
      </c>
      <c r="S86" s="2" t="inlineStr">
        <is>
          <t>Nguyen Trung Chinh</t>
        </is>
      </c>
      <c r="T86" s="3" t="n">
        <v>46326</v>
      </c>
      <c r="U86" s="3" t="n">
        <v>46339</v>
      </c>
      <c r="V86" s="2" t="n">
        <v>3</v>
      </c>
      <c r="W86" s="2" t="inlineStr">
        <is>
          <t>High</t>
        </is>
      </c>
      <c r="X86" s="2" t="inlineStr">
        <is>
          <t>Backend Development</t>
        </is>
      </c>
      <c r="Y86" s="2" t="inlineStr">
        <is>
          <t>CIN-T-007, CIN-T-037</t>
        </is>
      </c>
      <c r="Z86" s="2" t="inlineStr">
        <is>
          <t>Hoàn tất kết quả gốc: Đảm bảo các thao tác nhiều bước được xử lý nguyên tử.</t>
        </is>
      </c>
      <c r="AA86" s="2" t="inlineStr">
        <is>
          <t>Kết quả gốc được kiểm tra và có bằng chứng gắn với CIN-SUB-085; ngoại lệ được ghi rõ.</t>
        </is>
      </c>
      <c r="AB86" s="2" t="inlineStr">
        <is>
          <t>Planned</t>
        </is>
      </c>
      <c r="AC86" s="2" t="inlineStr">
        <is>
          <t>Planned only; no completion evidence was transferred. Confirm that limited foundation coding is allowed before PA3 design baseline.</t>
        </is>
      </c>
    </row>
    <row r="87">
      <c r="A87" s="2" t="inlineStr">
        <is>
          <t>ORIG-086</t>
        </is>
      </c>
      <c r="B87" s="2" t="n">
        <v>87</v>
      </c>
      <c r="C87" s="2" t="inlineStr">
        <is>
          <t>Backend API</t>
        </is>
      </c>
      <c r="D87" s="2" t="inlineStr">
        <is>
          <t>Xây API theo contract</t>
        </is>
      </c>
      <c r="E87" s="2" t="inlineStr">
        <is>
          <t>Thiết kế REST API</t>
        </is>
      </c>
      <c r="F87" s="2" t="inlineStr">
        <is>
          <t>Endpoint, HTTP Method, Request, Response</t>
        </is>
      </c>
      <c r="G87" s="2" t="inlineStr">
        <is>
          <t>Bắt buộc</t>
        </is>
      </c>
      <c r="H87" s="2" t="inlineStr">
        <is>
          <t>Sprint 3</t>
        </is>
      </c>
      <c r="I87" s="2" t="inlineStr">
        <is>
          <t>Thiết kế API ở Sprint 2–3; triển khai theo phạm vi PA cho phép.</t>
        </is>
      </c>
      <c r="J87" s="2" t="inlineStr">
        <is>
          <t>PH-02</t>
        </is>
      </c>
      <c r="K87" s="2" t="inlineStr">
        <is>
          <t>Solution Design &amp; Foundations</t>
        </is>
      </c>
      <c r="L87" s="2" t="inlineStr">
        <is>
          <t>CIN-T-014</t>
        </is>
      </c>
      <c r="M87" s="2" t="inlineStr">
        <is>
          <t>Định nghĩa REST API và DTO foundation</t>
        </is>
      </c>
      <c r="N87" s="2" t="inlineStr">
        <is>
          <t>24120244</t>
        </is>
      </c>
      <c r="O87" s="2" t="inlineStr">
        <is>
          <t>Phan Van Viet</t>
        </is>
      </c>
      <c r="P87" s="2" t="inlineStr">
        <is>
          <t>CIN-SUB-086</t>
        </is>
      </c>
      <c r="Q87" s="2" t="inlineStr">
        <is>
          <t>Sprint 3</t>
        </is>
      </c>
      <c r="R87" s="2" t="inlineStr">
        <is>
          <t>24120244</t>
        </is>
      </c>
      <c r="S87" s="2" t="inlineStr">
        <is>
          <t>Phan Van Viet</t>
        </is>
      </c>
      <c r="T87" s="3" t="n">
        <v>46326</v>
      </c>
      <c r="U87" s="3" t="n">
        <v>46339</v>
      </c>
      <c r="V87" s="2" t="n">
        <v>3</v>
      </c>
      <c r="W87" s="2" t="inlineStr">
        <is>
          <t>High</t>
        </is>
      </c>
      <c r="X87" s="2" t="inlineStr">
        <is>
          <t>API Design</t>
        </is>
      </c>
      <c r="Y87" s="2" t="inlineStr">
        <is>
          <t>CIN-T-011, CIN-T-007</t>
        </is>
      </c>
      <c r="Z87" s="2" t="inlineStr">
        <is>
          <t>Hoàn tất kết quả gốc: Endpoint, HTTP Method, Request, Response.</t>
        </is>
      </c>
      <c r="AA87" s="2" t="inlineStr">
        <is>
          <t>Kết quả gốc được kiểm tra và có bằng chứng gắn với CIN-SUB-086; ngoại lệ được ghi rõ.</t>
        </is>
      </c>
      <c r="AB87" s="2" t="inlineStr">
        <is>
          <t>Planned</t>
        </is>
      </c>
      <c r="AC87" s="2" t="inlineStr">
        <is>
          <t>Planned only; no completion evidence was transferred. Confirm that limited foundation coding is allowed before PA3 design baseline.</t>
        </is>
      </c>
    </row>
    <row r="88">
      <c r="A88" s="2" t="inlineStr">
        <is>
          <t>ORIG-087</t>
        </is>
      </c>
      <c r="B88" s="2" t="n">
        <v>88</v>
      </c>
      <c r="C88" s="2" t="inlineStr">
        <is>
          <t>Backend API</t>
        </is>
      </c>
      <c r="D88" s="2" t="n"/>
      <c r="E88" s="2" t="inlineStr">
        <is>
          <t>Thiết kế DTO</t>
        </is>
      </c>
      <c r="F88" s="2" t="inlineStr">
        <is>
          <t>Request DTO / Response DTO</t>
        </is>
      </c>
      <c r="G88" s="2" t="inlineStr">
        <is>
          <t>Bắt buộc</t>
        </is>
      </c>
      <c r="H88" s="2" t="inlineStr">
        <is>
          <t>Sprint 3</t>
        </is>
      </c>
      <c r="I88" s="2" t="inlineStr">
        <is>
          <t>Thiết kế API ở Sprint 2–3; triển khai theo phạm vi PA cho phép.</t>
        </is>
      </c>
      <c r="J88" s="2" t="inlineStr">
        <is>
          <t>PH-02</t>
        </is>
      </c>
      <c r="K88" s="2" t="inlineStr">
        <is>
          <t>Solution Design &amp; Foundations</t>
        </is>
      </c>
      <c r="L88" s="2" t="inlineStr">
        <is>
          <t>CIN-T-014</t>
        </is>
      </c>
      <c r="M88" s="2" t="inlineStr">
        <is>
          <t>Định nghĩa REST API và DTO foundation</t>
        </is>
      </c>
      <c r="N88" s="2" t="inlineStr">
        <is>
          <t>24120244</t>
        </is>
      </c>
      <c r="O88" s="2" t="inlineStr">
        <is>
          <t>Phan Van Viet</t>
        </is>
      </c>
      <c r="P88" s="2" t="inlineStr">
        <is>
          <t>CIN-SUB-087</t>
        </is>
      </c>
      <c r="Q88" s="2" t="inlineStr">
        <is>
          <t>Sprint 3</t>
        </is>
      </c>
      <c r="R88" s="2" t="inlineStr">
        <is>
          <t>24120235</t>
        </is>
      </c>
      <c r="S88" s="2" t="inlineStr">
        <is>
          <t>Huynh Thanh Tu</t>
        </is>
      </c>
      <c r="T88" s="3" t="n">
        <v>46326</v>
      </c>
      <c r="U88" s="3" t="n">
        <v>46339</v>
      </c>
      <c r="V88" s="2" t="n">
        <v>2</v>
      </c>
      <c r="W88" s="2" t="inlineStr">
        <is>
          <t>High</t>
        </is>
      </c>
      <c r="X88" s="2" t="inlineStr">
        <is>
          <t>API Design</t>
        </is>
      </c>
      <c r="Y88" s="2" t="inlineStr">
        <is>
          <t>CIN-T-011, CIN-T-007</t>
        </is>
      </c>
      <c r="Z88" s="2" t="inlineStr">
        <is>
          <t>Hoàn tất kết quả gốc: Request DTO / Response DTO.</t>
        </is>
      </c>
      <c r="AA88" s="2" t="inlineStr">
        <is>
          <t>Kết quả gốc được kiểm tra và có bằng chứng gắn với CIN-SUB-087; ngoại lệ được ghi rõ.</t>
        </is>
      </c>
      <c r="AB88" s="2" t="inlineStr">
        <is>
          <t>Planned</t>
        </is>
      </c>
      <c r="AC88" s="2" t="inlineStr">
        <is>
          <t>Planned only; no completion evidence was transferred. Confirm that limited foundation coding is allowed before PA3 design baseline.</t>
        </is>
      </c>
    </row>
    <row r="89">
      <c r="A89" s="2" t="inlineStr">
        <is>
          <t>ORIG-088</t>
        </is>
      </c>
      <c r="B89" s="2" t="n">
        <v>89</v>
      </c>
      <c r="C89" s="2" t="inlineStr">
        <is>
          <t>Backend API</t>
        </is>
      </c>
      <c r="D89" s="2" t="n"/>
      <c r="E89" s="2" t="inlineStr">
        <is>
          <t>API Movie / Genre</t>
        </is>
      </c>
      <c r="F89" s="2" t="inlineStr">
        <is>
          <t>CRUD phim và thể loại</t>
        </is>
      </c>
      <c r="G89" s="2" t="inlineStr">
        <is>
          <t>Bắt buộc</t>
        </is>
      </c>
      <c r="H89" s="2" t="inlineStr">
        <is>
          <t>Sprint 3</t>
        </is>
      </c>
      <c r="I89" s="2" t="inlineStr">
        <is>
          <t>Thiết kế API ở Sprint 2–3; triển khai theo phạm vi PA cho phép.</t>
        </is>
      </c>
      <c r="J89" s="2" t="inlineStr">
        <is>
          <t>PH-03</t>
        </is>
      </c>
      <c r="K89" s="2" t="inlineStr">
        <is>
          <t>Core Product Build</t>
        </is>
      </c>
      <c r="L89" s="2" t="inlineStr">
        <is>
          <t>CIN-T-015</t>
        </is>
      </c>
      <c r="M89" s="2" t="inlineStr">
        <is>
          <t>Triển khai API phim, rạp, ghế, vé và lịch chiếu</t>
        </is>
      </c>
      <c r="N89" s="2" t="inlineStr">
        <is>
          <t>24120255</t>
        </is>
      </c>
      <c r="O89" s="2" t="inlineStr">
        <is>
          <t>Tran Thien An</t>
        </is>
      </c>
      <c r="P89" s="2" t="inlineStr">
        <is>
          <t>CIN-SUB-088</t>
        </is>
      </c>
      <c r="Q89" s="2" t="inlineStr">
        <is>
          <t>Sprint 3</t>
        </is>
      </c>
      <c r="R89" s="2" t="inlineStr">
        <is>
          <t>24120255</t>
        </is>
      </c>
      <c r="S89" s="2" t="inlineStr">
        <is>
          <t>Tran Thien An</t>
        </is>
      </c>
      <c r="T89" s="3" t="n">
        <v>46326</v>
      </c>
      <c r="U89" s="3" t="n">
        <v>46339</v>
      </c>
      <c r="V89" s="2" t="n">
        <v>3</v>
      </c>
      <c r="W89" s="2" t="inlineStr">
        <is>
          <t>High</t>
        </is>
      </c>
      <c r="X89" s="2" t="inlineStr">
        <is>
          <t>Backend Development</t>
        </is>
      </c>
      <c r="Y89" s="2" t="inlineStr">
        <is>
          <t>CIN-T-013, CIN-T-014</t>
        </is>
      </c>
      <c r="Z89" s="2" t="inlineStr">
        <is>
          <t>Hoàn tất kết quả gốc: CRUD phim và thể loại.</t>
        </is>
      </c>
      <c r="AA89" s="2" t="inlineStr">
        <is>
          <t>Kết quả gốc được kiểm tra và có bằng chứng gắn với CIN-SUB-088; ngoại lệ được ghi rõ.</t>
        </is>
      </c>
      <c r="AB89" s="2" t="inlineStr">
        <is>
          <t>Planned</t>
        </is>
      </c>
      <c r="AC89" s="2" t="inlineStr">
        <is>
          <t>Planned only; no completion evidence was transferred. Confirm that limited foundation coding is allowed before PA3 design baseline.</t>
        </is>
      </c>
    </row>
    <row r="90">
      <c r="A90" s="2" t="inlineStr">
        <is>
          <t>ORIG-089</t>
        </is>
      </c>
      <c r="B90" s="2" t="n">
        <v>90</v>
      </c>
      <c r="C90" s="2" t="inlineStr">
        <is>
          <t>Backend API</t>
        </is>
      </c>
      <c r="D90" s="2" t="n"/>
      <c r="E90" s="2" t="inlineStr">
        <is>
          <t>API Cinema Room</t>
        </is>
      </c>
      <c r="F90" s="2" t="inlineStr">
        <is>
          <t>CRUD phòng chiếu</t>
        </is>
      </c>
      <c r="G90" s="2" t="inlineStr">
        <is>
          <t>Bắt buộc</t>
        </is>
      </c>
      <c r="H90" s="2" t="inlineStr">
        <is>
          <t>Sprint 3</t>
        </is>
      </c>
      <c r="I90" s="2" t="inlineStr">
        <is>
          <t>Thiết kế API ở Sprint 2–3; triển khai theo phạm vi PA cho phép.</t>
        </is>
      </c>
      <c r="J90" s="2" t="inlineStr">
        <is>
          <t>PH-03</t>
        </is>
      </c>
      <c r="K90" s="2" t="inlineStr">
        <is>
          <t>Core Product Build</t>
        </is>
      </c>
      <c r="L90" s="2" t="inlineStr">
        <is>
          <t>CIN-T-015</t>
        </is>
      </c>
      <c r="M90" s="2" t="inlineStr">
        <is>
          <t>Triển khai API phim, rạp, ghế, vé và lịch chiếu</t>
        </is>
      </c>
      <c r="N90" s="2" t="inlineStr">
        <is>
          <t>24120255</t>
        </is>
      </c>
      <c r="O90" s="2" t="inlineStr">
        <is>
          <t>Tran Thien An</t>
        </is>
      </c>
      <c r="P90" s="2" t="inlineStr">
        <is>
          <t>CIN-SUB-089</t>
        </is>
      </c>
      <c r="Q90" s="2" t="inlineStr">
        <is>
          <t>Sprint 3</t>
        </is>
      </c>
      <c r="R90" s="2" t="inlineStr">
        <is>
          <t>24120098</t>
        </is>
      </c>
      <c r="S90" s="2" t="inlineStr">
        <is>
          <t>Nguyen Quoc Nam</t>
        </is>
      </c>
      <c r="T90" s="3" t="n">
        <v>46326</v>
      </c>
      <c r="U90" s="3" t="n">
        <v>46339</v>
      </c>
      <c r="V90" s="2" t="n">
        <v>3</v>
      </c>
      <c r="W90" s="2" t="inlineStr">
        <is>
          <t>High</t>
        </is>
      </c>
      <c r="X90" s="2" t="inlineStr">
        <is>
          <t>Backend Development</t>
        </is>
      </c>
      <c r="Y90" s="2" t="inlineStr">
        <is>
          <t>CIN-T-013, CIN-T-014</t>
        </is>
      </c>
      <c r="Z90" s="2" t="inlineStr">
        <is>
          <t>Hoàn tất kết quả gốc: CRUD phòng chiếu.</t>
        </is>
      </c>
      <c r="AA90" s="2" t="inlineStr">
        <is>
          <t>Kết quả gốc được kiểm tra và có bằng chứng gắn với CIN-SUB-089; ngoại lệ được ghi rõ.</t>
        </is>
      </c>
      <c r="AB90" s="2" t="inlineStr">
        <is>
          <t>Planned</t>
        </is>
      </c>
      <c r="AC90" s="2" t="inlineStr">
        <is>
          <t>Planned only; no completion evidence was transferred. Confirm that limited foundation coding is allowed before PA3 design baseline.</t>
        </is>
      </c>
    </row>
    <row r="91">
      <c r="A91" s="2" t="inlineStr">
        <is>
          <t>ORIG-090</t>
        </is>
      </c>
      <c r="B91" s="2" t="n">
        <v>91</v>
      </c>
      <c r="C91" s="2" t="inlineStr">
        <is>
          <t>Backend API</t>
        </is>
      </c>
      <c r="D91" s="2" t="n"/>
      <c r="E91" s="2" t="inlineStr">
        <is>
          <t>API Seat / Seat Type</t>
        </is>
      </c>
      <c r="F91" s="2" t="inlineStr">
        <is>
          <t>Quản lý sơ đồ ghế</t>
        </is>
      </c>
      <c r="G91" s="2" t="inlineStr">
        <is>
          <t>Bắt buộc</t>
        </is>
      </c>
      <c r="H91" s="2" t="inlineStr">
        <is>
          <t>Sprint 3</t>
        </is>
      </c>
      <c r="I91" s="2" t="inlineStr">
        <is>
          <t>Thiết kế API ở Sprint 2–3; triển khai theo phạm vi PA cho phép.</t>
        </is>
      </c>
      <c r="J91" s="2" t="inlineStr">
        <is>
          <t>PH-03</t>
        </is>
      </c>
      <c r="K91" s="2" t="inlineStr">
        <is>
          <t>Core Product Build</t>
        </is>
      </c>
      <c r="L91" s="2" t="inlineStr">
        <is>
          <t>CIN-T-015</t>
        </is>
      </c>
      <c r="M91" s="2" t="inlineStr">
        <is>
          <t>Triển khai API phim, rạp, ghế, vé và lịch chiếu</t>
        </is>
      </c>
      <c r="N91" s="2" t="inlineStr">
        <is>
          <t>24120255</t>
        </is>
      </c>
      <c r="O91" s="2" t="inlineStr">
        <is>
          <t>Tran Thien An</t>
        </is>
      </c>
      <c r="P91" s="2" t="inlineStr">
        <is>
          <t>CIN-SUB-090</t>
        </is>
      </c>
      <c r="Q91" s="2" t="inlineStr">
        <is>
          <t>Sprint 3</t>
        </is>
      </c>
      <c r="R91" s="2" t="inlineStr">
        <is>
          <t>24120235</t>
        </is>
      </c>
      <c r="S91" s="2" t="inlineStr">
        <is>
          <t>Huynh Thanh Tu</t>
        </is>
      </c>
      <c r="T91" s="3" t="n">
        <v>46326</v>
      </c>
      <c r="U91" s="3" t="n">
        <v>46339</v>
      </c>
      <c r="V91" s="2" t="n">
        <v>3</v>
      </c>
      <c r="W91" s="2" t="inlineStr">
        <is>
          <t>High</t>
        </is>
      </c>
      <c r="X91" s="2" t="inlineStr">
        <is>
          <t>Backend Development</t>
        </is>
      </c>
      <c r="Y91" s="2" t="inlineStr">
        <is>
          <t>CIN-T-013, CIN-T-014</t>
        </is>
      </c>
      <c r="Z91" s="2" t="inlineStr">
        <is>
          <t>Hoàn tất kết quả gốc: Quản lý sơ đồ ghế.</t>
        </is>
      </c>
      <c r="AA91" s="2" t="inlineStr">
        <is>
          <t>Kết quả gốc được kiểm tra và có bằng chứng gắn với CIN-SUB-090; ngoại lệ được ghi rõ.</t>
        </is>
      </c>
      <c r="AB91" s="2" t="inlineStr">
        <is>
          <t>Planned</t>
        </is>
      </c>
      <c r="AC91" s="2" t="inlineStr">
        <is>
          <t>Planned only; no completion evidence was transferred. Confirm that limited foundation coding is allowed before PA3 design baseline.</t>
        </is>
      </c>
    </row>
    <row r="92">
      <c r="A92" s="2" t="inlineStr">
        <is>
          <t>ORIG-091</t>
        </is>
      </c>
      <c r="B92" s="2" t="n">
        <v>92</v>
      </c>
      <c r="C92" s="2" t="inlineStr">
        <is>
          <t>Backend API</t>
        </is>
      </c>
      <c r="D92" s="2" t="n"/>
      <c r="E92" s="2" t="inlineStr">
        <is>
          <t>API Ticket Type</t>
        </is>
      </c>
      <c r="F92" s="2" t="inlineStr">
        <is>
          <t>Quản lý loại vé và giá</t>
        </is>
      </c>
      <c r="G92" s="2" t="inlineStr">
        <is>
          <t>Bắt buộc</t>
        </is>
      </c>
      <c r="H92" s="2" t="inlineStr">
        <is>
          <t>Sprint 3</t>
        </is>
      </c>
      <c r="I92" s="2" t="inlineStr">
        <is>
          <t>Thiết kế API ở Sprint 2–3; triển khai theo phạm vi PA cho phép.</t>
        </is>
      </c>
      <c r="J92" s="2" t="inlineStr">
        <is>
          <t>PH-03</t>
        </is>
      </c>
      <c r="K92" s="2" t="inlineStr">
        <is>
          <t>Core Product Build</t>
        </is>
      </c>
      <c r="L92" s="2" t="inlineStr">
        <is>
          <t>CIN-T-015</t>
        </is>
      </c>
      <c r="M92" s="2" t="inlineStr">
        <is>
          <t>Triển khai API phim, rạp, ghế, vé và lịch chiếu</t>
        </is>
      </c>
      <c r="N92" s="2" t="inlineStr">
        <is>
          <t>24120255</t>
        </is>
      </c>
      <c r="O92" s="2" t="inlineStr">
        <is>
          <t>Tran Thien An</t>
        </is>
      </c>
      <c r="P92" s="2" t="inlineStr">
        <is>
          <t>CIN-SUB-091</t>
        </is>
      </c>
      <c r="Q92" s="2" t="inlineStr">
        <is>
          <t>Sprint 3</t>
        </is>
      </c>
      <c r="R92" s="2" t="inlineStr">
        <is>
          <t>24120271</t>
        </is>
      </c>
      <c r="S92" s="2" t="inlineStr">
        <is>
          <t>Nguyen Trung Chinh</t>
        </is>
      </c>
      <c r="T92" s="3" t="n">
        <v>46326</v>
      </c>
      <c r="U92" s="3" t="n">
        <v>46339</v>
      </c>
      <c r="V92" s="2" t="n">
        <v>3</v>
      </c>
      <c r="W92" s="2" t="inlineStr">
        <is>
          <t>High</t>
        </is>
      </c>
      <c r="X92" s="2" t="inlineStr">
        <is>
          <t>Backend Development</t>
        </is>
      </c>
      <c r="Y92" s="2" t="inlineStr">
        <is>
          <t>CIN-T-013, CIN-T-014</t>
        </is>
      </c>
      <c r="Z92" s="2" t="inlineStr">
        <is>
          <t>Hoàn tất kết quả gốc: Quản lý loại vé và giá.</t>
        </is>
      </c>
      <c r="AA92" s="2" t="inlineStr">
        <is>
          <t>Kết quả gốc được kiểm tra và có bằng chứng gắn với CIN-SUB-091; ngoại lệ được ghi rõ.</t>
        </is>
      </c>
      <c r="AB92" s="2" t="inlineStr">
        <is>
          <t>Planned</t>
        </is>
      </c>
      <c r="AC92" s="2" t="inlineStr">
        <is>
          <t>Planned only; no completion evidence was transferred. Confirm that limited foundation coding is allowed before PA3 design baseline.</t>
        </is>
      </c>
    </row>
    <row r="93">
      <c r="A93" s="2" t="inlineStr">
        <is>
          <t>ORIG-092</t>
        </is>
      </c>
      <c r="B93" s="2" t="n">
        <v>93</v>
      </c>
      <c r="C93" s="2" t="inlineStr">
        <is>
          <t>Backend API</t>
        </is>
      </c>
      <c r="D93" s="2" t="n"/>
      <c r="E93" s="2" t="inlineStr">
        <is>
          <t>API Showtime</t>
        </is>
      </c>
      <c r="F93" s="2" t="inlineStr">
        <is>
          <t>CRUD và kiểm tra xung đột lịch</t>
        </is>
      </c>
      <c r="G93" s="2" t="inlineStr">
        <is>
          <t>Bắt buộc</t>
        </is>
      </c>
      <c r="H93" s="2" t="inlineStr">
        <is>
          <t>Sprint 3</t>
        </is>
      </c>
      <c r="I93" s="2" t="inlineStr">
        <is>
          <t>Thiết kế API ở Sprint 2–3; triển khai theo phạm vi PA cho phép.</t>
        </is>
      </c>
      <c r="J93" s="2" t="inlineStr">
        <is>
          <t>PH-03</t>
        </is>
      </c>
      <c r="K93" s="2" t="inlineStr">
        <is>
          <t>Core Product Build</t>
        </is>
      </c>
      <c r="L93" s="2" t="inlineStr">
        <is>
          <t>CIN-T-015</t>
        </is>
      </c>
      <c r="M93" s="2" t="inlineStr">
        <is>
          <t>Triển khai API phim, rạp, ghế, vé và lịch chiếu</t>
        </is>
      </c>
      <c r="N93" s="2" t="inlineStr">
        <is>
          <t>24120255</t>
        </is>
      </c>
      <c r="O93" s="2" t="inlineStr">
        <is>
          <t>Tran Thien An</t>
        </is>
      </c>
      <c r="P93" s="2" t="inlineStr">
        <is>
          <t>CIN-SUB-092</t>
        </is>
      </c>
      <c r="Q93" s="2" t="inlineStr">
        <is>
          <t>Sprint 3</t>
        </is>
      </c>
      <c r="R93" s="2" t="inlineStr">
        <is>
          <t>24120244</t>
        </is>
      </c>
      <c r="S93" s="2" t="inlineStr">
        <is>
          <t>Phan Van Viet</t>
        </is>
      </c>
      <c r="T93" s="3" t="n">
        <v>46326</v>
      </c>
      <c r="U93" s="3" t="n">
        <v>46339</v>
      </c>
      <c r="V93" s="2" t="n">
        <v>3</v>
      </c>
      <c r="W93" s="2" t="inlineStr">
        <is>
          <t>High</t>
        </is>
      </c>
      <c r="X93" s="2" t="inlineStr">
        <is>
          <t>Backend Development</t>
        </is>
      </c>
      <c r="Y93" s="2" t="inlineStr">
        <is>
          <t>CIN-T-013, CIN-T-014</t>
        </is>
      </c>
      <c r="Z93" s="2" t="inlineStr">
        <is>
          <t>Hoàn tất kết quả gốc: CRUD và kiểm tra xung đột lịch.</t>
        </is>
      </c>
      <c r="AA93" s="2" t="inlineStr">
        <is>
          <t>Kết quả gốc được kiểm tra và có bằng chứng gắn với CIN-SUB-092; ngoại lệ được ghi rõ.</t>
        </is>
      </c>
      <c r="AB93" s="2" t="inlineStr">
        <is>
          <t>Planned</t>
        </is>
      </c>
      <c r="AC93" s="2" t="inlineStr">
        <is>
          <t>Planned only; no completion evidence was transferred. Confirm that limited foundation coding is allowed before PA3 design baseline.</t>
        </is>
      </c>
    </row>
    <row r="94">
      <c r="A94" s="2" t="inlineStr">
        <is>
          <t>ORIG-093</t>
        </is>
      </c>
      <c r="B94" s="2" t="n">
        <v>94</v>
      </c>
      <c r="C94" s="2" t="inlineStr">
        <is>
          <t>Backend API</t>
        </is>
      </c>
      <c r="D94" s="2" t="n"/>
      <c r="E94" s="2" t="inlineStr">
        <is>
          <t>API Schedule</t>
        </is>
      </c>
      <c r="F94" s="2" t="inlineStr">
        <is>
          <t>Truy vấn lịch chiếu</t>
        </is>
      </c>
      <c r="G94" s="2" t="inlineStr">
        <is>
          <t>Bắt buộc</t>
        </is>
      </c>
      <c r="H94" s="2" t="inlineStr">
        <is>
          <t>Sprint 3</t>
        </is>
      </c>
      <c r="I94" s="2" t="inlineStr">
        <is>
          <t>Thiết kế API ở Sprint 2–3; triển khai theo phạm vi PA cho phép.</t>
        </is>
      </c>
      <c r="J94" s="2" t="inlineStr">
        <is>
          <t>PH-03</t>
        </is>
      </c>
      <c r="K94" s="2" t="inlineStr">
        <is>
          <t>Core Product Build</t>
        </is>
      </c>
      <c r="L94" s="2" t="inlineStr">
        <is>
          <t>CIN-T-015</t>
        </is>
      </c>
      <c r="M94" s="2" t="inlineStr">
        <is>
          <t>Triển khai API phim, rạp, ghế, vé và lịch chiếu</t>
        </is>
      </c>
      <c r="N94" s="2" t="inlineStr">
        <is>
          <t>24120255</t>
        </is>
      </c>
      <c r="O94" s="2" t="inlineStr">
        <is>
          <t>Tran Thien An</t>
        </is>
      </c>
      <c r="P94" s="2" t="inlineStr">
        <is>
          <t>CIN-SUB-093</t>
        </is>
      </c>
      <c r="Q94" s="2" t="inlineStr">
        <is>
          <t>Sprint 3</t>
        </is>
      </c>
      <c r="R94" s="2" t="inlineStr">
        <is>
          <t>24120255</t>
        </is>
      </c>
      <c r="S94" s="2" t="inlineStr">
        <is>
          <t>Tran Thien An</t>
        </is>
      </c>
      <c r="T94" s="3" t="n">
        <v>46326</v>
      </c>
      <c r="U94" s="3" t="n">
        <v>46339</v>
      </c>
      <c r="V94" s="2" t="n">
        <v>3</v>
      </c>
      <c r="W94" s="2" t="inlineStr">
        <is>
          <t>High</t>
        </is>
      </c>
      <c r="X94" s="2" t="inlineStr">
        <is>
          <t>Backend Development</t>
        </is>
      </c>
      <c r="Y94" s="2" t="inlineStr">
        <is>
          <t>CIN-T-013, CIN-T-014</t>
        </is>
      </c>
      <c r="Z94" s="2" t="inlineStr">
        <is>
          <t>Hoàn tất kết quả gốc: Truy vấn lịch chiếu.</t>
        </is>
      </c>
      <c r="AA94" s="2" t="inlineStr">
        <is>
          <t>Kết quả gốc được kiểm tra và có bằng chứng gắn với CIN-SUB-093; ngoại lệ được ghi rõ.</t>
        </is>
      </c>
      <c r="AB94" s="2" t="inlineStr">
        <is>
          <t>Planned</t>
        </is>
      </c>
      <c r="AC94" s="2" t="inlineStr">
        <is>
          <t>Planned only; no completion evidence was transferred. Confirm that limited foundation coding is allowed before PA3 design baseline.</t>
        </is>
      </c>
    </row>
    <row r="95">
      <c r="A95" s="2" t="inlineStr">
        <is>
          <t>ORIG-094</t>
        </is>
      </c>
      <c r="B95" s="2" t="n">
        <v>95</v>
      </c>
      <c r="C95" s="2" t="inlineStr">
        <is>
          <t>Backend API</t>
        </is>
      </c>
      <c r="D95" s="2" t="n"/>
      <c r="E95" s="2" t="inlineStr">
        <is>
          <t>API Seat Availability</t>
        </is>
      </c>
      <c r="F95" s="2" t="inlineStr">
        <is>
          <t>Lấy trạng thái ghế theo suất chiếu</t>
        </is>
      </c>
      <c r="G95" s="2" t="inlineStr">
        <is>
          <t>Bắt buộc</t>
        </is>
      </c>
      <c r="H95" s="2" t="inlineStr">
        <is>
          <t>Sprint 3</t>
        </is>
      </c>
      <c r="I95" s="2" t="inlineStr">
        <is>
          <t>Thiết kế API ở Sprint 2–3; triển khai theo phạm vi PA cho phép.</t>
        </is>
      </c>
      <c r="J95" s="2" t="inlineStr">
        <is>
          <t>PH-03</t>
        </is>
      </c>
      <c r="K95" s="2" t="inlineStr">
        <is>
          <t>Core Product Build</t>
        </is>
      </c>
      <c r="L95" s="2" t="inlineStr">
        <is>
          <t>CIN-T-015</t>
        </is>
      </c>
      <c r="M95" s="2" t="inlineStr">
        <is>
          <t>Triển khai API phim, rạp, ghế, vé và lịch chiếu</t>
        </is>
      </c>
      <c r="N95" s="2" t="inlineStr">
        <is>
          <t>24120255</t>
        </is>
      </c>
      <c r="O95" s="2" t="inlineStr">
        <is>
          <t>Tran Thien An</t>
        </is>
      </c>
      <c r="P95" s="2" t="inlineStr">
        <is>
          <t>CIN-SUB-094</t>
        </is>
      </c>
      <c r="Q95" s="2" t="inlineStr">
        <is>
          <t>Sprint 3</t>
        </is>
      </c>
      <c r="R95" s="2" t="inlineStr">
        <is>
          <t>24120098</t>
        </is>
      </c>
      <c r="S95" s="2" t="inlineStr">
        <is>
          <t>Nguyen Quoc Nam</t>
        </is>
      </c>
      <c r="T95" s="3" t="n">
        <v>46326</v>
      </c>
      <c r="U95" s="3" t="n">
        <v>46339</v>
      </c>
      <c r="V95" s="2" t="n">
        <v>3</v>
      </c>
      <c r="W95" s="2" t="inlineStr">
        <is>
          <t>High</t>
        </is>
      </c>
      <c r="X95" s="2" t="inlineStr">
        <is>
          <t>Backend Development</t>
        </is>
      </c>
      <c r="Y95" s="2" t="inlineStr">
        <is>
          <t>CIN-T-013, CIN-T-014</t>
        </is>
      </c>
      <c r="Z95" s="2" t="inlineStr">
        <is>
          <t>Hoàn tất kết quả gốc: Lấy trạng thái ghế theo suất chiếu.</t>
        </is>
      </c>
      <c r="AA95" s="2" t="inlineStr">
        <is>
          <t>Kết quả gốc được kiểm tra và có bằng chứng gắn với CIN-SUB-094; ngoại lệ được ghi rõ.</t>
        </is>
      </c>
      <c r="AB95" s="2" t="inlineStr">
        <is>
          <t>Planned</t>
        </is>
      </c>
      <c r="AC95" s="2" t="inlineStr">
        <is>
          <t>Planned only; no completion evidence was transferred. Conditional/optional; confirm rubric, infrastructure and remaining capacity. Confirm that limited foundation coding is allowed before PA3 design baseline.</t>
        </is>
      </c>
    </row>
    <row r="96">
      <c r="A96" s="2" t="inlineStr">
        <is>
          <t>ORIG-095</t>
        </is>
      </c>
      <c r="B96" s="2" t="n">
        <v>96</v>
      </c>
      <c r="C96" s="2" t="inlineStr">
        <is>
          <t>Backend API</t>
        </is>
      </c>
      <c r="D96" s="2" t="n"/>
      <c r="E96" s="2" t="inlineStr">
        <is>
          <t>API Booking</t>
        </is>
      </c>
      <c r="F96" s="2" t="inlineStr">
        <is>
          <t>Tạo / xem / hủy booking</t>
        </is>
      </c>
      <c r="G96" s="2" t="inlineStr">
        <is>
          <t>Bắt buộc</t>
        </is>
      </c>
      <c r="H96" s="2" t="inlineStr">
        <is>
          <t>Sprint 3</t>
        </is>
      </c>
      <c r="I96" s="2" t="inlineStr">
        <is>
          <t>Thiết kế API ở Sprint 2–3; triển khai theo phạm vi PA cho phép.</t>
        </is>
      </c>
      <c r="J96" s="2" t="inlineStr">
        <is>
          <t>PH-03</t>
        </is>
      </c>
      <c r="K96" s="2" t="inlineStr">
        <is>
          <t>Core Product Build</t>
        </is>
      </c>
      <c r="L96" s="2" t="inlineStr">
        <is>
          <t>CIN-T-016</t>
        </is>
      </c>
      <c r="M96" s="2" t="inlineStr">
        <is>
          <t>Triển khai API booking, ticket và payment</t>
        </is>
      </c>
      <c r="N96" s="2" t="inlineStr">
        <is>
          <t>24120255</t>
        </is>
      </c>
      <c r="O96" s="2" t="inlineStr">
        <is>
          <t>Tran Thien An</t>
        </is>
      </c>
      <c r="P96" s="2" t="inlineStr">
        <is>
          <t>CIN-SUB-095</t>
        </is>
      </c>
      <c r="Q96" s="2" t="inlineStr">
        <is>
          <t>Sprint 4</t>
        </is>
      </c>
      <c r="R96" s="2" t="inlineStr">
        <is>
          <t>24120255</t>
        </is>
      </c>
      <c r="S96" s="2" t="inlineStr">
        <is>
          <t>Tran Thien An</t>
        </is>
      </c>
      <c r="T96" s="3" t="n">
        <v>46340</v>
      </c>
      <c r="U96" s="3" t="n">
        <v>46353</v>
      </c>
      <c r="V96" s="2" t="n">
        <v>3</v>
      </c>
      <c r="W96" s="2" t="inlineStr">
        <is>
          <t>High</t>
        </is>
      </c>
      <c r="X96" s="2" t="inlineStr">
        <is>
          <t>Backend Development</t>
        </is>
      </c>
      <c r="Y96" s="2" t="inlineStr">
        <is>
          <t>CIN-T-015, CIN-T-022, CIN-T-023</t>
        </is>
      </c>
      <c r="Z96" s="2" t="inlineStr">
        <is>
          <t>Hoàn tất kết quả gốc: Tạo / xem / hủy booking.</t>
        </is>
      </c>
      <c r="AA96" s="2" t="inlineStr">
        <is>
          <t>Kết quả gốc được kiểm tra và có bằng chứng gắn với CIN-SUB-095; ngoại lệ được ghi rõ.</t>
        </is>
      </c>
      <c r="AB96" s="2" t="inlineStr">
        <is>
          <t>Planned</t>
        </is>
      </c>
      <c r="AC96" s="2" t="inlineStr">
        <is>
          <t>Planned only; no completion evidence was transferred.</t>
        </is>
      </c>
    </row>
    <row r="97">
      <c r="A97" s="2" t="inlineStr">
        <is>
          <t>ORIG-096</t>
        </is>
      </c>
      <c r="B97" s="2" t="n">
        <v>97</v>
      </c>
      <c r="C97" s="2" t="inlineStr">
        <is>
          <t>Backend API</t>
        </is>
      </c>
      <c r="D97" s="2" t="n"/>
      <c r="E97" s="2" t="inlineStr">
        <is>
          <t>API Booking Detail</t>
        </is>
      </c>
      <c r="F97" s="2" t="inlineStr">
        <is>
          <t>Chi tiết ghế và loại vé</t>
        </is>
      </c>
      <c r="G97" s="2" t="inlineStr">
        <is>
          <t>Bắt buộc</t>
        </is>
      </c>
      <c r="H97" s="2" t="inlineStr">
        <is>
          <t>Sprint 3</t>
        </is>
      </c>
      <c r="I97" s="2" t="inlineStr">
        <is>
          <t>Thiết kế API ở Sprint 2–3; triển khai theo phạm vi PA cho phép.</t>
        </is>
      </c>
      <c r="J97" s="2" t="inlineStr">
        <is>
          <t>PH-03</t>
        </is>
      </c>
      <c r="K97" s="2" t="inlineStr">
        <is>
          <t>Core Product Build</t>
        </is>
      </c>
      <c r="L97" s="2" t="inlineStr">
        <is>
          <t>CIN-T-016</t>
        </is>
      </c>
      <c r="M97" s="2" t="inlineStr">
        <is>
          <t>Triển khai API booking, ticket và payment</t>
        </is>
      </c>
      <c r="N97" s="2" t="inlineStr">
        <is>
          <t>24120255</t>
        </is>
      </c>
      <c r="O97" s="2" t="inlineStr">
        <is>
          <t>Tran Thien An</t>
        </is>
      </c>
      <c r="P97" s="2" t="inlineStr">
        <is>
          <t>CIN-SUB-096</t>
        </is>
      </c>
      <c r="Q97" s="2" t="inlineStr">
        <is>
          <t>Sprint 4</t>
        </is>
      </c>
      <c r="R97" s="2" t="inlineStr">
        <is>
          <t>24120271</t>
        </is>
      </c>
      <c r="S97" s="2" t="inlineStr">
        <is>
          <t>Nguyen Trung Chinh</t>
        </is>
      </c>
      <c r="T97" s="3" t="n">
        <v>46340</v>
      </c>
      <c r="U97" s="3" t="n">
        <v>46353</v>
      </c>
      <c r="V97" s="2" t="n">
        <v>3</v>
      </c>
      <c r="W97" s="2" t="inlineStr">
        <is>
          <t>High</t>
        </is>
      </c>
      <c r="X97" s="2" t="inlineStr">
        <is>
          <t>Backend Development</t>
        </is>
      </c>
      <c r="Y97" s="2" t="inlineStr">
        <is>
          <t>CIN-T-015, CIN-T-022, CIN-T-023</t>
        </is>
      </c>
      <c r="Z97" s="2" t="inlineStr">
        <is>
          <t>Hoàn tất kết quả gốc: Chi tiết ghế và loại vé.</t>
        </is>
      </c>
      <c r="AA97" s="2" t="inlineStr">
        <is>
          <t>Kết quả gốc được kiểm tra và có bằng chứng gắn với CIN-SUB-096; ngoại lệ được ghi rõ.</t>
        </is>
      </c>
      <c r="AB97" s="2" t="inlineStr">
        <is>
          <t>Planned</t>
        </is>
      </c>
      <c r="AC97" s="2" t="inlineStr">
        <is>
          <t>Planned only; no completion evidence was transferred. Conditional/optional; confirm rubric, infrastructure and remaining capacity.</t>
        </is>
      </c>
    </row>
    <row r="98">
      <c r="A98" s="2" t="inlineStr">
        <is>
          <t>ORIG-097</t>
        </is>
      </c>
      <c r="B98" s="2" t="n">
        <v>98</v>
      </c>
      <c r="C98" s="2" t="inlineStr">
        <is>
          <t>Backend API</t>
        </is>
      </c>
      <c r="D98" s="2" t="n"/>
      <c r="E98" s="2" t="inlineStr">
        <is>
          <t>API Ticket</t>
        </is>
      </c>
      <c r="F98" s="2" t="inlineStr">
        <is>
          <t>Phát hành và truy vấn vé</t>
        </is>
      </c>
      <c r="G98" s="2" t="inlineStr">
        <is>
          <t>Bắt buộc</t>
        </is>
      </c>
      <c r="H98" s="2" t="inlineStr">
        <is>
          <t>Sprint 3</t>
        </is>
      </c>
      <c r="I98" s="2" t="inlineStr">
        <is>
          <t>Thiết kế API ở Sprint 2–3; triển khai theo phạm vi PA cho phép.</t>
        </is>
      </c>
      <c r="J98" s="2" t="inlineStr">
        <is>
          <t>PH-03</t>
        </is>
      </c>
      <c r="K98" s="2" t="inlineStr">
        <is>
          <t>Core Product Build</t>
        </is>
      </c>
      <c r="L98" s="2" t="inlineStr">
        <is>
          <t>CIN-T-016</t>
        </is>
      </c>
      <c r="M98" s="2" t="inlineStr">
        <is>
          <t>Triển khai API booking, ticket và payment</t>
        </is>
      </c>
      <c r="N98" s="2" t="inlineStr">
        <is>
          <t>24120255</t>
        </is>
      </c>
      <c r="O98" s="2" t="inlineStr">
        <is>
          <t>Tran Thien An</t>
        </is>
      </c>
      <c r="P98" s="2" t="inlineStr">
        <is>
          <t>CIN-SUB-097</t>
        </is>
      </c>
      <c r="Q98" s="2" t="inlineStr">
        <is>
          <t>Sprint 4</t>
        </is>
      </c>
      <c r="R98" s="2" t="inlineStr">
        <is>
          <t>24120244</t>
        </is>
      </c>
      <c r="S98" s="2" t="inlineStr">
        <is>
          <t>Phan Van Viet</t>
        </is>
      </c>
      <c r="T98" s="3" t="n">
        <v>46340</v>
      </c>
      <c r="U98" s="3" t="n">
        <v>46353</v>
      </c>
      <c r="V98" s="2" t="n">
        <v>3</v>
      </c>
      <c r="W98" s="2" t="inlineStr">
        <is>
          <t>High</t>
        </is>
      </c>
      <c r="X98" s="2" t="inlineStr">
        <is>
          <t>Backend Development</t>
        </is>
      </c>
      <c r="Y98" s="2" t="inlineStr">
        <is>
          <t>CIN-T-015, CIN-T-022, CIN-T-023</t>
        </is>
      </c>
      <c r="Z98" s="2" t="inlineStr">
        <is>
          <t>Hoàn tất kết quả gốc: Phát hành và truy vấn vé.</t>
        </is>
      </c>
      <c r="AA98" s="2" t="inlineStr">
        <is>
          <t>Kết quả gốc được kiểm tra và có bằng chứng gắn với CIN-SUB-097; ngoại lệ được ghi rõ.</t>
        </is>
      </c>
      <c r="AB98" s="2" t="inlineStr">
        <is>
          <t>Planned</t>
        </is>
      </c>
      <c r="AC98" s="2" t="inlineStr">
        <is>
          <t>Planned only; no completion evidence was transferred.</t>
        </is>
      </c>
    </row>
    <row r="99">
      <c r="A99" s="2" t="inlineStr">
        <is>
          <t>ORIG-098</t>
        </is>
      </c>
      <c r="B99" s="2" t="n">
        <v>99</v>
      </c>
      <c r="C99" s="2" t="inlineStr">
        <is>
          <t>Backend API</t>
        </is>
      </c>
      <c r="D99" s="2" t="n"/>
      <c r="E99" s="2" t="inlineStr">
        <is>
          <t>API Payment</t>
        </is>
      </c>
      <c r="F99" s="2" t="inlineStr">
        <is>
          <t>Tạo và cập nhật thanh toán</t>
        </is>
      </c>
      <c r="G99" s="2" t="inlineStr">
        <is>
          <t>Bắt buộc</t>
        </is>
      </c>
      <c r="H99" s="2" t="inlineStr">
        <is>
          <t>Sprint 3</t>
        </is>
      </c>
      <c r="I99" s="2" t="inlineStr">
        <is>
          <t>Thiết kế API ở Sprint 2–3; triển khai theo phạm vi PA cho phép.</t>
        </is>
      </c>
      <c r="J99" s="2" t="inlineStr">
        <is>
          <t>PH-03</t>
        </is>
      </c>
      <c r="K99" s="2" t="inlineStr">
        <is>
          <t>Core Product Build</t>
        </is>
      </c>
      <c r="L99" s="2" t="inlineStr">
        <is>
          <t>CIN-T-016</t>
        </is>
      </c>
      <c r="M99" s="2" t="inlineStr">
        <is>
          <t>Triển khai API booking, ticket và payment</t>
        </is>
      </c>
      <c r="N99" s="2" t="inlineStr">
        <is>
          <t>24120255</t>
        </is>
      </c>
      <c r="O99" s="2" t="inlineStr">
        <is>
          <t>Tran Thien An</t>
        </is>
      </c>
      <c r="P99" s="2" t="inlineStr">
        <is>
          <t>CIN-SUB-098</t>
        </is>
      </c>
      <c r="Q99" s="2" t="inlineStr">
        <is>
          <t>Sprint 4</t>
        </is>
      </c>
      <c r="R99" s="2" t="inlineStr">
        <is>
          <t>24120235</t>
        </is>
      </c>
      <c r="S99" s="2" t="inlineStr">
        <is>
          <t>Huynh Thanh Tu</t>
        </is>
      </c>
      <c r="T99" s="3" t="n">
        <v>46340</v>
      </c>
      <c r="U99" s="3" t="n">
        <v>46353</v>
      </c>
      <c r="V99" s="2" t="n">
        <v>3</v>
      </c>
      <c r="W99" s="2" t="inlineStr">
        <is>
          <t>High</t>
        </is>
      </c>
      <c r="X99" s="2" t="inlineStr">
        <is>
          <t>Backend Development</t>
        </is>
      </c>
      <c r="Y99" s="2" t="inlineStr">
        <is>
          <t>CIN-T-015, CIN-T-022, CIN-T-023</t>
        </is>
      </c>
      <c r="Z99" s="2" t="inlineStr">
        <is>
          <t>Hoàn tất kết quả gốc: Tạo và cập nhật thanh toán.</t>
        </is>
      </c>
      <c r="AA99" s="2" t="inlineStr">
        <is>
          <t>Kết quả gốc được kiểm tra và có bằng chứng gắn với CIN-SUB-098; ngoại lệ được ghi rõ.</t>
        </is>
      </c>
      <c r="AB99" s="2" t="inlineStr">
        <is>
          <t>Planned</t>
        </is>
      </c>
      <c r="AC99" s="2" t="inlineStr">
        <is>
          <t>Planned only; no completion evidence was transferred.</t>
        </is>
      </c>
    </row>
    <row r="100">
      <c r="A100" s="2" t="inlineStr">
        <is>
          <t>ORIG-099</t>
        </is>
      </c>
      <c r="B100" s="2" t="n">
        <v>100</v>
      </c>
      <c r="C100" s="2" t="inlineStr">
        <is>
          <t>Backend API</t>
        </is>
      </c>
      <c r="D100" s="2" t="n"/>
      <c r="E100" s="2" t="inlineStr">
        <is>
          <t>API User</t>
        </is>
      </c>
      <c r="F100" s="2" t="inlineStr">
        <is>
          <t>Quản lý tài khoản</t>
        </is>
      </c>
      <c r="G100" s="2" t="inlineStr">
        <is>
          <t>Bắt buộc</t>
        </is>
      </c>
      <c r="H100" s="2" t="inlineStr">
        <is>
          <t>Sprint 3</t>
        </is>
      </c>
      <c r="I100" s="2" t="inlineStr">
        <is>
          <t>Thiết kế API ở Sprint 2–3; triển khai theo phạm vi PA cho phép.</t>
        </is>
      </c>
      <c r="J100" s="2" t="inlineStr">
        <is>
          <t>PH-04</t>
        </is>
      </c>
      <c r="K100" s="2" t="inlineStr">
        <is>
          <t>Release, Verification &amp; Handover</t>
        </is>
      </c>
      <c r="L100" s="2" t="inlineStr">
        <is>
          <t>CIN-T-017</t>
        </is>
      </c>
      <c r="M100" s="2" t="inlineStr">
        <is>
          <t>Triển khai API user và statistics cơ bản</t>
        </is>
      </c>
      <c r="N100" s="2" t="inlineStr">
        <is>
          <t>24120255</t>
        </is>
      </c>
      <c r="O100" s="2" t="inlineStr">
        <is>
          <t>Tran Thien An</t>
        </is>
      </c>
      <c r="P100" s="2" t="inlineStr">
        <is>
          <t>CIN-SUB-099</t>
        </is>
      </c>
      <c r="Q100" s="2" t="inlineStr">
        <is>
          <t>Sprint 5</t>
        </is>
      </c>
      <c r="R100" s="2" t="inlineStr">
        <is>
          <t>24120255</t>
        </is>
      </c>
      <c r="S100" s="2" t="inlineStr">
        <is>
          <t>Tran Thien An</t>
        </is>
      </c>
      <c r="T100" s="3" t="n">
        <v>46354</v>
      </c>
      <c r="U100" s="3" t="n">
        <v>46368</v>
      </c>
      <c r="V100" s="2" t="n">
        <v>3</v>
      </c>
      <c r="W100" s="2" t="inlineStr">
        <is>
          <t>Medium</t>
        </is>
      </c>
      <c r="X100" s="2" t="inlineStr">
        <is>
          <t>Backend Development</t>
        </is>
      </c>
      <c r="Y100" s="2" t="inlineStr">
        <is>
          <t>CIN-T-019, CIN-T-015</t>
        </is>
      </c>
      <c r="Z100" s="2" t="inlineStr">
        <is>
          <t>Hoàn tất kết quả gốc: Quản lý tài khoản.</t>
        </is>
      </c>
      <c r="AA100" s="2" t="inlineStr">
        <is>
          <t>Kết quả gốc được kiểm tra và có bằng chứng gắn với CIN-SUB-099; ngoại lệ được ghi rõ.</t>
        </is>
      </c>
      <c r="AB100" s="2" t="inlineStr">
        <is>
          <t>Planned</t>
        </is>
      </c>
      <c r="AC100" s="2" t="inlineStr">
        <is>
          <t>Planned only; no completion evidence was transferred.</t>
        </is>
      </c>
    </row>
    <row r="101">
      <c r="A101" s="2" t="inlineStr">
        <is>
          <t>ORIG-100</t>
        </is>
      </c>
      <c r="B101" s="2" t="n">
        <v>101</v>
      </c>
      <c r="C101" s="2" t="inlineStr">
        <is>
          <t>Backend API</t>
        </is>
      </c>
      <c r="D101" s="2" t="n"/>
      <c r="E101" s="2" t="inlineStr">
        <is>
          <t>API Statistics</t>
        </is>
      </c>
      <c r="F101" s="2" t="inlineStr">
        <is>
          <t>Cung cấp dữ liệu thống kê</t>
        </is>
      </c>
      <c r="G101" s="2" t="inlineStr">
        <is>
          <t>Bắt buộc</t>
        </is>
      </c>
      <c r="H101" s="2" t="inlineStr">
        <is>
          <t>Sprint 3</t>
        </is>
      </c>
      <c r="I101" s="2" t="inlineStr">
        <is>
          <t>Thiết kế API ở Sprint 2–3; triển khai theo phạm vi PA cho phép.</t>
        </is>
      </c>
      <c r="J101" s="2" t="inlineStr">
        <is>
          <t>PH-04</t>
        </is>
      </c>
      <c r="K101" s="2" t="inlineStr">
        <is>
          <t>Release, Verification &amp; Handover</t>
        </is>
      </c>
      <c r="L101" s="2" t="inlineStr">
        <is>
          <t>CIN-T-017</t>
        </is>
      </c>
      <c r="M101" s="2" t="inlineStr">
        <is>
          <t>Triển khai API user và statistics cơ bản</t>
        </is>
      </c>
      <c r="N101" s="2" t="inlineStr">
        <is>
          <t>24120255</t>
        </is>
      </c>
      <c r="O101" s="2" t="inlineStr">
        <is>
          <t>Tran Thien An</t>
        </is>
      </c>
      <c r="P101" s="2" t="inlineStr">
        <is>
          <t>CIN-SUB-100</t>
        </is>
      </c>
      <c r="Q101" s="2" t="inlineStr">
        <is>
          <t>Sprint 5</t>
        </is>
      </c>
      <c r="R101" s="2" t="inlineStr">
        <is>
          <t>24120098</t>
        </is>
      </c>
      <c r="S101" s="2" t="inlineStr">
        <is>
          <t>Nguyen Quoc Nam</t>
        </is>
      </c>
      <c r="T101" s="3" t="n">
        <v>46354</v>
      </c>
      <c r="U101" s="3" t="n">
        <v>46368</v>
      </c>
      <c r="V101" s="2" t="n">
        <v>3</v>
      </c>
      <c r="W101" s="2" t="inlineStr">
        <is>
          <t>Medium</t>
        </is>
      </c>
      <c r="X101" s="2" t="inlineStr">
        <is>
          <t>Backend Development</t>
        </is>
      </c>
      <c r="Y101" s="2" t="inlineStr">
        <is>
          <t>CIN-T-019, CIN-T-015</t>
        </is>
      </c>
      <c r="Z101" s="2" t="inlineStr">
        <is>
          <t>Hoàn tất kết quả gốc: Cung cấp dữ liệu thống kê.</t>
        </is>
      </c>
      <c r="AA101" s="2" t="inlineStr">
        <is>
          <t>Kết quả gốc được kiểm tra và có bằng chứng gắn với CIN-SUB-100; ngoại lệ được ghi rõ.</t>
        </is>
      </c>
      <c r="AB101" s="2" t="inlineStr">
        <is>
          <t>Planned</t>
        </is>
      </c>
      <c r="AC101" s="2" t="inlineStr">
        <is>
          <t>Planned only; no completion evidence was transferred.</t>
        </is>
      </c>
    </row>
    <row r="102">
      <c r="A102" s="2" t="inlineStr">
        <is>
          <t>ORIG-101</t>
        </is>
      </c>
      <c r="B102" s="2" t="n">
        <v>102</v>
      </c>
      <c r="C102" s="2" t="inlineStr">
        <is>
          <t>Backend API</t>
        </is>
      </c>
      <c r="D102" s="2" t="n"/>
      <c r="E102" s="2" t="inlineStr">
        <is>
          <t>Swagger / OpenAPI</t>
        </is>
      </c>
      <c r="F102" s="2" t="inlineStr">
        <is>
          <t>Tài liệu và kiểm thử API</t>
        </is>
      </c>
      <c r="G102" s="2" t="inlineStr">
        <is>
          <t>Bắt buộc</t>
        </is>
      </c>
      <c r="H102" s="2" t="inlineStr">
        <is>
          <t>Sprint 3</t>
        </is>
      </c>
      <c r="I102" s="2" t="inlineStr">
        <is>
          <t>Thiết kế API ở Sprint 2–3; triển khai theo phạm vi PA cho phép.</t>
        </is>
      </c>
      <c r="J102" s="2" t="inlineStr">
        <is>
          <t>PH-03</t>
        </is>
      </c>
      <c r="K102" s="2" t="inlineStr">
        <is>
          <t>Core Product Build</t>
        </is>
      </c>
      <c r="L102" s="2" t="inlineStr">
        <is>
          <t>CIN-T-018</t>
        </is>
      </c>
      <c r="M102" s="2" t="inlineStr">
        <is>
          <t>Chuẩn hóa API response và tài liệu OpenAPI</t>
        </is>
      </c>
      <c r="N102" s="2" t="inlineStr">
        <is>
          <t>24120235</t>
        </is>
      </c>
      <c r="O102" s="2" t="inlineStr">
        <is>
          <t>Huynh Thanh Tu</t>
        </is>
      </c>
      <c r="P102" s="2" t="inlineStr">
        <is>
          <t>CIN-SUB-101</t>
        </is>
      </c>
      <c r="Q102" s="2" t="inlineStr">
        <is>
          <t>Sprint 3</t>
        </is>
      </c>
      <c r="R102" s="2" t="inlineStr">
        <is>
          <t>24120235</t>
        </is>
      </c>
      <c r="S102" s="2" t="inlineStr">
        <is>
          <t>Huynh Thanh Tu</t>
        </is>
      </c>
      <c r="T102" s="3" t="n">
        <v>46326</v>
      </c>
      <c r="U102" s="3" t="n">
        <v>46339</v>
      </c>
      <c r="V102" s="2" t="n">
        <v>3</v>
      </c>
      <c r="W102" s="2" t="inlineStr">
        <is>
          <t>Medium</t>
        </is>
      </c>
      <c r="X102" s="2" t="inlineStr">
        <is>
          <t>Backend Development</t>
        </is>
      </c>
      <c r="Y102" s="2" t="inlineStr">
        <is>
          <t>CIN-T-014</t>
        </is>
      </c>
      <c r="Z102" s="2" t="inlineStr">
        <is>
          <t>Hoàn tất kết quả gốc: Tài liệu và kiểm thử API.</t>
        </is>
      </c>
      <c r="AA102" s="2" t="inlineStr">
        <is>
          <t>Kết quả gốc được kiểm tra và có bằng chứng gắn với CIN-SUB-101; ngoại lệ được ghi rõ.</t>
        </is>
      </c>
      <c r="AB102" s="2" t="inlineStr">
        <is>
          <t>Planned</t>
        </is>
      </c>
      <c r="AC102" s="2" t="inlineStr">
        <is>
          <t>Planned only; no completion evidence was transferred. Confirm that limited foundation coding is allowed before PA3 design baseline.</t>
        </is>
      </c>
    </row>
    <row r="103">
      <c r="A103" s="2" t="inlineStr">
        <is>
          <t>ORIG-102</t>
        </is>
      </c>
      <c r="B103" s="2" t="n">
        <v>103</v>
      </c>
      <c r="C103" s="2" t="inlineStr">
        <is>
          <t>Backend API</t>
        </is>
      </c>
      <c r="D103" s="2" t="n"/>
      <c r="E103" s="2" t="inlineStr">
        <is>
          <t>API Response Convention</t>
        </is>
      </c>
      <c r="F103" s="2" t="inlineStr">
        <is>
          <t>Chuẩn hóa response và HTTP status code</t>
        </is>
      </c>
      <c r="G103" s="2" t="inlineStr">
        <is>
          <t>Bắt buộc</t>
        </is>
      </c>
      <c r="H103" s="2" t="inlineStr">
        <is>
          <t>Sprint 3</t>
        </is>
      </c>
      <c r="I103" s="2" t="inlineStr">
        <is>
          <t>Thiết kế API ở Sprint 2–3; triển khai theo phạm vi PA cho phép.</t>
        </is>
      </c>
      <c r="J103" s="2" t="inlineStr">
        <is>
          <t>PH-03</t>
        </is>
      </c>
      <c r="K103" s="2" t="inlineStr">
        <is>
          <t>Core Product Build</t>
        </is>
      </c>
      <c r="L103" s="2" t="inlineStr">
        <is>
          <t>CIN-T-018</t>
        </is>
      </c>
      <c r="M103" s="2" t="inlineStr">
        <is>
          <t>Chuẩn hóa API response và tài liệu OpenAPI</t>
        </is>
      </c>
      <c r="N103" s="2" t="inlineStr">
        <is>
          <t>24120235</t>
        </is>
      </c>
      <c r="O103" s="2" t="inlineStr">
        <is>
          <t>Huynh Thanh Tu</t>
        </is>
      </c>
      <c r="P103" s="2" t="inlineStr">
        <is>
          <t>CIN-SUB-102</t>
        </is>
      </c>
      <c r="Q103" s="2" t="inlineStr">
        <is>
          <t>Sprint 3</t>
        </is>
      </c>
      <c r="R103" s="2" t="inlineStr">
        <is>
          <t>24120271</t>
        </is>
      </c>
      <c r="S103" s="2" t="inlineStr">
        <is>
          <t>Nguyen Trung Chinh</t>
        </is>
      </c>
      <c r="T103" s="3" t="n">
        <v>46326</v>
      </c>
      <c r="U103" s="3" t="n">
        <v>46339</v>
      </c>
      <c r="V103" s="2" t="n">
        <v>3</v>
      </c>
      <c r="W103" s="2" t="inlineStr">
        <is>
          <t>Medium</t>
        </is>
      </c>
      <c r="X103" s="2" t="inlineStr">
        <is>
          <t>Backend Development</t>
        </is>
      </c>
      <c r="Y103" s="2" t="inlineStr">
        <is>
          <t>CIN-T-014</t>
        </is>
      </c>
      <c r="Z103" s="2" t="inlineStr">
        <is>
          <t>Hoàn tất kết quả gốc: Chuẩn hóa response và HTTP status code.</t>
        </is>
      </c>
      <c r="AA103" s="2" t="inlineStr">
        <is>
          <t>Kết quả gốc được kiểm tra và có bằng chứng gắn với CIN-SUB-102; ngoại lệ được ghi rõ.</t>
        </is>
      </c>
      <c r="AB103" s="2" t="inlineStr">
        <is>
          <t>Planned</t>
        </is>
      </c>
      <c r="AC103" s="2" t="inlineStr">
        <is>
          <t>Planned only; no completion evidence was transferred. Confirm that limited foundation coding is allowed before PA3 design baseline.</t>
        </is>
      </c>
    </row>
    <row r="104">
      <c r="A104" s="2" t="inlineStr">
        <is>
          <t>ORIG-103</t>
        </is>
      </c>
      <c r="B104" s="2" t="n">
        <v>104</v>
      </c>
      <c r="C104" s="2" t="inlineStr">
        <is>
          <t>Authentication &amp; Authorization</t>
        </is>
      </c>
      <c r="D104" s="2" t="inlineStr">
        <is>
          <t>Đăng nhập, JWT, role</t>
        </is>
      </c>
      <c r="E104" s="2" t="inlineStr">
        <is>
          <t>Register</t>
        </is>
      </c>
      <c r="F104" s="2" t="inlineStr">
        <is>
          <t>Đăng ký tài khoản</t>
        </is>
      </c>
      <c r="G104" s="2" t="inlineStr">
        <is>
          <t>Bắt buộc</t>
        </is>
      </c>
      <c r="H104" s="2" t="inlineStr">
        <is>
          <t>Sprint 3</t>
        </is>
      </c>
      <c r="I104" s="2" t="inlineStr">
        <is>
          <t>Đăng nhập và phân quyền cơ bản là cần thiết cho các vai trò hệ thống.</t>
        </is>
      </c>
      <c r="J104" s="2" t="inlineStr">
        <is>
          <t>PH-03</t>
        </is>
      </c>
      <c r="K104" s="2" t="inlineStr">
        <is>
          <t>Core Product Build</t>
        </is>
      </c>
      <c r="L104" s="2" t="inlineStr">
        <is>
          <t>CIN-T-019</t>
        </is>
      </c>
      <c r="M104" s="2" t="inlineStr">
        <is>
          <t>Triển khai đăng ký, đăng nhập và phân quyền</t>
        </is>
      </c>
      <c r="N104" s="2" t="inlineStr">
        <is>
          <t>24120244</t>
        </is>
      </c>
      <c r="O104" s="2" t="inlineStr">
        <is>
          <t>Phan Van Viet</t>
        </is>
      </c>
      <c r="P104" s="2" t="inlineStr">
        <is>
          <t>CIN-SUB-103</t>
        </is>
      </c>
      <c r="Q104" s="2" t="inlineStr">
        <is>
          <t>Sprint 3</t>
        </is>
      </c>
      <c r="R104" s="2" t="inlineStr">
        <is>
          <t>24120244</t>
        </is>
      </c>
      <c r="S104" s="2" t="inlineStr">
        <is>
          <t>Phan Van Viet</t>
        </is>
      </c>
      <c r="T104" s="3" t="n">
        <v>46326</v>
      </c>
      <c r="U104" s="3" t="n">
        <v>46339</v>
      </c>
      <c r="V104" s="2" t="n">
        <v>2</v>
      </c>
      <c r="W104" s="2" t="inlineStr">
        <is>
          <t>High</t>
        </is>
      </c>
      <c r="X104" s="2" t="inlineStr">
        <is>
          <t>Backend / Security</t>
        </is>
      </c>
      <c r="Y104" s="2" t="inlineStr">
        <is>
          <t>CIN-T-013, CIN-T-014, CIN-T-003</t>
        </is>
      </c>
      <c r="Z104" s="2" t="inlineStr">
        <is>
          <t>Hoàn tất kết quả gốc: Đăng ký tài khoản.</t>
        </is>
      </c>
      <c r="AA104" s="2" t="inlineStr">
        <is>
          <t>Kết quả gốc được kiểm tra và có bằng chứng gắn với CIN-SUB-103; ngoại lệ được ghi rõ.</t>
        </is>
      </c>
      <c r="AB104" s="2" t="inlineStr">
        <is>
          <t>Planned</t>
        </is>
      </c>
      <c r="AC104" s="2" t="inlineStr">
        <is>
          <t>Planned only; no completion evidence was transferred. Confirm that limited foundation coding is allowed before PA3 design baseline.</t>
        </is>
      </c>
    </row>
    <row r="105">
      <c r="A105" s="2" t="inlineStr">
        <is>
          <t>ORIG-104</t>
        </is>
      </c>
      <c r="B105" s="2" t="n">
        <v>105</v>
      </c>
      <c r="C105" s="2" t="inlineStr">
        <is>
          <t>Authentication &amp; Authorization</t>
        </is>
      </c>
      <c r="D105" s="2" t="n"/>
      <c r="E105" s="2" t="inlineStr">
        <is>
          <t>Login</t>
        </is>
      </c>
      <c r="F105" s="2" t="inlineStr">
        <is>
          <t>Đăng nhập</t>
        </is>
      </c>
      <c r="G105" s="2" t="inlineStr">
        <is>
          <t>Bắt buộc</t>
        </is>
      </c>
      <c r="H105" s="2" t="inlineStr">
        <is>
          <t>Sprint 3</t>
        </is>
      </c>
      <c r="I105" s="2" t="inlineStr">
        <is>
          <t>Đăng nhập và phân quyền cơ bản là cần thiết cho các vai trò hệ thống.</t>
        </is>
      </c>
      <c r="J105" s="2" t="inlineStr">
        <is>
          <t>PH-03</t>
        </is>
      </c>
      <c r="K105" s="2" t="inlineStr">
        <is>
          <t>Core Product Build</t>
        </is>
      </c>
      <c r="L105" s="2" t="inlineStr">
        <is>
          <t>CIN-T-019</t>
        </is>
      </c>
      <c r="M105" s="2" t="inlineStr">
        <is>
          <t>Triển khai đăng ký, đăng nhập và phân quyền</t>
        </is>
      </c>
      <c r="N105" s="2" t="inlineStr">
        <is>
          <t>24120244</t>
        </is>
      </c>
      <c r="O105" s="2" t="inlineStr">
        <is>
          <t>Phan Van Viet</t>
        </is>
      </c>
      <c r="P105" s="2" t="inlineStr">
        <is>
          <t>CIN-SUB-104</t>
        </is>
      </c>
      <c r="Q105" s="2" t="inlineStr">
        <is>
          <t>Sprint 3</t>
        </is>
      </c>
      <c r="R105" s="2" t="inlineStr">
        <is>
          <t>24120255</t>
        </is>
      </c>
      <c r="S105" s="2" t="inlineStr">
        <is>
          <t>Tran Thien An</t>
        </is>
      </c>
      <c r="T105" s="3" t="n">
        <v>46326</v>
      </c>
      <c r="U105" s="3" t="n">
        <v>46339</v>
      </c>
      <c r="V105" s="2" t="n">
        <v>2</v>
      </c>
      <c r="W105" s="2" t="inlineStr">
        <is>
          <t>High</t>
        </is>
      </c>
      <c r="X105" s="2" t="inlineStr">
        <is>
          <t>Backend / Security</t>
        </is>
      </c>
      <c r="Y105" s="2" t="inlineStr">
        <is>
          <t>CIN-T-013, CIN-T-014, CIN-T-003</t>
        </is>
      </c>
      <c r="Z105" s="2" t="inlineStr">
        <is>
          <t>Hoàn tất kết quả gốc: Đăng nhập.</t>
        </is>
      </c>
      <c r="AA105" s="2" t="inlineStr">
        <is>
          <t>Kết quả gốc được kiểm tra và có bằng chứng gắn với CIN-SUB-104; ngoại lệ được ghi rõ.</t>
        </is>
      </c>
      <c r="AB105" s="2" t="inlineStr">
        <is>
          <t>Planned</t>
        </is>
      </c>
      <c r="AC105" s="2" t="inlineStr">
        <is>
          <t>Planned only; no completion evidence was transferred. Confirm that limited foundation coding is allowed before PA3 design baseline.</t>
        </is>
      </c>
    </row>
    <row r="106">
      <c r="A106" s="2" t="inlineStr">
        <is>
          <t>ORIG-105</t>
        </is>
      </c>
      <c r="B106" s="2" t="n">
        <v>106</v>
      </c>
      <c r="C106" s="2" t="inlineStr">
        <is>
          <t>Authentication &amp; Authorization</t>
        </is>
      </c>
      <c r="D106" s="2" t="n"/>
      <c r="E106" s="2" t="inlineStr">
        <is>
          <t>Password Hashing</t>
        </is>
      </c>
      <c r="F106" s="2" t="inlineStr">
        <is>
          <t>Không lưu password dạng plaintext</t>
        </is>
      </c>
      <c r="G106" s="2" t="inlineStr">
        <is>
          <t>Bắt buộc</t>
        </is>
      </c>
      <c r="H106" s="2" t="inlineStr">
        <is>
          <t>Sprint 3</t>
        </is>
      </c>
      <c r="I106" s="2" t="inlineStr">
        <is>
          <t>Đăng nhập và phân quyền cơ bản là cần thiết cho các vai trò hệ thống.</t>
        </is>
      </c>
      <c r="J106" s="2" t="inlineStr">
        <is>
          <t>PH-03</t>
        </is>
      </c>
      <c r="K106" s="2" t="inlineStr">
        <is>
          <t>Core Product Build</t>
        </is>
      </c>
      <c r="L106" s="2" t="inlineStr">
        <is>
          <t>CIN-T-019</t>
        </is>
      </c>
      <c r="M106" s="2" t="inlineStr">
        <is>
          <t>Triển khai đăng ký, đăng nhập và phân quyền</t>
        </is>
      </c>
      <c r="N106" s="2" t="inlineStr">
        <is>
          <t>24120244</t>
        </is>
      </c>
      <c r="O106" s="2" t="inlineStr">
        <is>
          <t>Phan Van Viet</t>
        </is>
      </c>
      <c r="P106" s="2" t="inlineStr">
        <is>
          <t>CIN-SUB-105</t>
        </is>
      </c>
      <c r="Q106" s="2" t="inlineStr">
        <is>
          <t>Sprint 3</t>
        </is>
      </c>
      <c r="R106" s="2" t="inlineStr">
        <is>
          <t>24120244</t>
        </is>
      </c>
      <c r="S106" s="2" t="inlineStr">
        <is>
          <t>Phan Van Viet</t>
        </is>
      </c>
      <c r="T106" s="3" t="n">
        <v>46326</v>
      </c>
      <c r="U106" s="3" t="n">
        <v>46339</v>
      </c>
      <c r="V106" s="2" t="n">
        <v>2</v>
      </c>
      <c r="W106" s="2" t="inlineStr">
        <is>
          <t>High</t>
        </is>
      </c>
      <c r="X106" s="2" t="inlineStr">
        <is>
          <t>Backend / Security</t>
        </is>
      </c>
      <c r="Y106" s="2" t="inlineStr">
        <is>
          <t>CIN-T-013, CIN-T-014, CIN-T-003</t>
        </is>
      </c>
      <c r="Z106" s="2" t="inlineStr">
        <is>
          <t>Hoàn tất kết quả gốc: Không lưu password dạng plaintext.</t>
        </is>
      </c>
      <c r="AA106" s="2" t="inlineStr">
        <is>
          <t>Kết quả gốc được kiểm tra và có bằng chứng gắn với CIN-SUB-105; ngoại lệ được ghi rõ.</t>
        </is>
      </c>
      <c r="AB106" s="2" t="inlineStr">
        <is>
          <t>Planned</t>
        </is>
      </c>
      <c r="AC106" s="2" t="inlineStr">
        <is>
          <t>Planned only; no completion evidence was transferred. Confirm that limited foundation coding is allowed before PA3 design baseline.</t>
        </is>
      </c>
    </row>
    <row r="107">
      <c r="A107" s="2" t="inlineStr">
        <is>
          <t>ORIG-106</t>
        </is>
      </c>
      <c r="B107" s="2" t="n">
        <v>107</v>
      </c>
      <c r="C107" s="2" t="inlineStr">
        <is>
          <t>Authentication &amp; Authorization</t>
        </is>
      </c>
      <c r="D107" s="2" t="n"/>
      <c r="E107" s="2" t="inlineStr">
        <is>
          <t>JWT / Authentication</t>
        </is>
      </c>
      <c r="F107" s="2" t="inlineStr">
        <is>
          <t>Xác thực request</t>
        </is>
      </c>
      <c r="G107" s="2" t="inlineStr">
        <is>
          <t>Bắt buộc</t>
        </is>
      </c>
      <c r="H107" s="2" t="inlineStr">
        <is>
          <t>Sprint 3</t>
        </is>
      </c>
      <c r="I107" s="2" t="inlineStr">
        <is>
          <t>Đăng nhập và phân quyền cơ bản là cần thiết cho các vai trò hệ thống.</t>
        </is>
      </c>
      <c r="J107" s="2" t="inlineStr">
        <is>
          <t>PH-03</t>
        </is>
      </c>
      <c r="K107" s="2" t="inlineStr">
        <is>
          <t>Core Product Build</t>
        </is>
      </c>
      <c r="L107" s="2" t="inlineStr">
        <is>
          <t>CIN-T-019</t>
        </is>
      </c>
      <c r="M107" s="2" t="inlineStr">
        <is>
          <t>Triển khai đăng ký, đăng nhập và phân quyền</t>
        </is>
      </c>
      <c r="N107" s="2" t="inlineStr">
        <is>
          <t>24120244</t>
        </is>
      </c>
      <c r="O107" s="2" t="inlineStr">
        <is>
          <t>Phan Van Viet</t>
        </is>
      </c>
      <c r="P107" s="2" t="inlineStr">
        <is>
          <t>CIN-SUB-106</t>
        </is>
      </c>
      <c r="Q107" s="2" t="inlineStr">
        <is>
          <t>Sprint 3</t>
        </is>
      </c>
      <c r="R107" s="2" t="inlineStr">
        <is>
          <t>24120098</t>
        </is>
      </c>
      <c r="S107" s="2" t="inlineStr">
        <is>
          <t>Nguyen Quoc Nam</t>
        </is>
      </c>
      <c r="T107" s="3" t="n">
        <v>46326</v>
      </c>
      <c r="U107" s="3" t="n">
        <v>46339</v>
      </c>
      <c r="V107" s="2" t="n">
        <v>3</v>
      </c>
      <c r="W107" s="2" t="inlineStr">
        <is>
          <t>High</t>
        </is>
      </c>
      <c r="X107" s="2" t="inlineStr">
        <is>
          <t>Backend / Security</t>
        </is>
      </c>
      <c r="Y107" s="2" t="inlineStr">
        <is>
          <t>CIN-T-013, CIN-T-014, CIN-T-003</t>
        </is>
      </c>
      <c r="Z107" s="2" t="inlineStr">
        <is>
          <t>Hoàn tất kết quả gốc: Xác thực request.</t>
        </is>
      </c>
      <c r="AA107" s="2" t="inlineStr">
        <is>
          <t>Kết quả gốc được kiểm tra và có bằng chứng gắn với CIN-SUB-106; ngoại lệ được ghi rõ.</t>
        </is>
      </c>
      <c r="AB107" s="2" t="inlineStr">
        <is>
          <t>Planned</t>
        </is>
      </c>
      <c r="AC107" s="2" t="inlineStr">
        <is>
          <t>Planned only; no completion evidence was transferred. Confirm that limited foundation coding is allowed before PA3 design baseline.</t>
        </is>
      </c>
    </row>
    <row r="108">
      <c r="A108" s="2" t="inlineStr">
        <is>
          <t>ORIG-107</t>
        </is>
      </c>
      <c r="B108" s="2" t="n">
        <v>108</v>
      </c>
      <c r="C108" s="2" t="inlineStr">
        <is>
          <t>Authentication &amp; Authorization</t>
        </is>
      </c>
      <c r="D108" s="2" t="n"/>
      <c r="E108" s="2" t="inlineStr">
        <is>
          <t>Token Expiration</t>
        </is>
      </c>
      <c r="F108" s="2" t="inlineStr">
        <is>
          <t>Quản lý thời hạn token</t>
        </is>
      </c>
      <c r="G108" s="2" t="inlineStr">
        <is>
          <t>Bắt buộc</t>
        </is>
      </c>
      <c r="H108" s="2" t="inlineStr">
        <is>
          <t>Sprint 3</t>
        </is>
      </c>
      <c r="I108" s="2" t="inlineStr">
        <is>
          <t>Đăng nhập và phân quyền cơ bản là cần thiết cho các vai trò hệ thống.</t>
        </is>
      </c>
      <c r="J108" s="2" t="inlineStr">
        <is>
          <t>PH-03</t>
        </is>
      </c>
      <c r="K108" s="2" t="inlineStr">
        <is>
          <t>Core Product Build</t>
        </is>
      </c>
      <c r="L108" s="2" t="inlineStr">
        <is>
          <t>CIN-T-019</t>
        </is>
      </c>
      <c r="M108" s="2" t="inlineStr">
        <is>
          <t>Triển khai đăng ký, đăng nhập và phân quyền</t>
        </is>
      </c>
      <c r="N108" s="2" t="inlineStr">
        <is>
          <t>24120244</t>
        </is>
      </c>
      <c r="O108" s="2" t="inlineStr">
        <is>
          <t>Phan Van Viet</t>
        </is>
      </c>
      <c r="P108" s="2" t="inlineStr">
        <is>
          <t>CIN-SUB-107</t>
        </is>
      </c>
      <c r="Q108" s="2" t="inlineStr">
        <is>
          <t>Sprint 3</t>
        </is>
      </c>
      <c r="R108" s="2" t="inlineStr">
        <is>
          <t>24120235</t>
        </is>
      </c>
      <c r="S108" s="2" t="inlineStr">
        <is>
          <t>Huynh Thanh Tu</t>
        </is>
      </c>
      <c r="T108" s="3" t="n">
        <v>46326</v>
      </c>
      <c r="U108" s="3" t="n">
        <v>46339</v>
      </c>
      <c r="V108" s="2" t="n">
        <v>2</v>
      </c>
      <c r="W108" s="2" t="inlineStr">
        <is>
          <t>High</t>
        </is>
      </c>
      <c r="X108" s="2" t="inlineStr">
        <is>
          <t>Backend / Security</t>
        </is>
      </c>
      <c r="Y108" s="2" t="inlineStr">
        <is>
          <t>CIN-T-013, CIN-T-014, CIN-T-003</t>
        </is>
      </c>
      <c r="Z108" s="2" t="inlineStr">
        <is>
          <t>Hoàn tất kết quả gốc: Quản lý thời hạn token.</t>
        </is>
      </c>
      <c r="AA108" s="2" t="inlineStr">
        <is>
          <t>Kết quả gốc được kiểm tra và có bằng chứng gắn với CIN-SUB-107; ngoại lệ được ghi rõ.</t>
        </is>
      </c>
      <c r="AB108" s="2" t="inlineStr">
        <is>
          <t>Planned</t>
        </is>
      </c>
      <c r="AC108" s="2" t="inlineStr">
        <is>
          <t>Planned only; no completion evidence was transferred. Confirm that limited foundation coding is allowed before PA3 design baseline.</t>
        </is>
      </c>
    </row>
    <row r="109">
      <c r="A109" s="2" t="inlineStr">
        <is>
          <t>ORIG-108</t>
        </is>
      </c>
      <c r="B109" s="2" t="n">
        <v>109</v>
      </c>
      <c r="C109" s="2" t="inlineStr">
        <is>
          <t>Authentication &amp; Authorization</t>
        </is>
      </c>
      <c r="D109" s="2" t="n"/>
      <c r="E109" s="2" t="inlineStr">
        <is>
          <t>Role</t>
        </is>
      </c>
      <c r="F109" s="2" t="inlineStr">
        <is>
          <t>Admin / Manager / Staff / Customer</t>
        </is>
      </c>
      <c r="G109" s="2" t="inlineStr">
        <is>
          <t>Bắt buộc</t>
        </is>
      </c>
      <c r="H109" s="2" t="inlineStr">
        <is>
          <t>Sprint 3</t>
        </is>
      </c>
      <c r="I109" s="2" t="inlineStr">
        <is>
          <t>Đăng nhập và phân quyền cơ bản là cần thiết cho các vai trò hệ thống.</t>
        </is>
      </c>
      <c r="J109" s="2" t="inlineStr">
        <is>
          <t>PH-03</t>
        </is>
      </c>
      <c r="K109" s="2" t="inlineStr">
        <is>
          <t>Core Product Build</t>
        </is>
      </c>
      <c r="L109" s="2" t="inlineStr">
        <is>
          <t>CIN-T-019</t>
        </is>
      </c>
      <c r="M109" s="2" t="inlineStr">
        <is>
          <t>Triển khai đăng ký, đăng nhập và phân quyền</t>
        </is>
      </c>
      <c r="N109" s="2" t="inlineStr">
        <is>
          <t>24120244</t>
        </is>
      </c>
      <c r="O109" s="2" t="inlineStr">
        <is>
          <t>Phan Van Viet</t>
        </is>
      </c>
      <c r="P109" s="2" t="inlineStr">
        <is>
          <t>CIN-SUB-108</t>
        </is>
      </c>
      <c r="Q109" s="2" t="inlineStr">
        <is>
          <t>Sprint 3</t>
        </is>
      </c>
      <c r="R109" s="2" t="inlineStr">
        <is>
          <t>24120271</t>
        </is>
      </c>
      <c r="S109" s="2" t="inlineStr">
        <is>
          <t>Nguyen Trung Chinh</t>
        </is>
      </c>
      <c r="T109" s="3" t="n">
        <v>46326</v>
      </c>
      <c r="U109" s="3" t="n">
        <v>46339</v>
      </c>
      <c r="V109" s="2" t="n">
        <v>2</v>
      </c>
      <c r="W109" s="2" t="inlineStr">
        <is>
          <t>High</t>
        </is>
      </c>
      <c r="X109" s="2" t="inlineStr">
        <is>
          <t>Backend / Security</t>
        </is>
      </c>
      <c r="Y109" s="2" t="inlineStr">
        <is>
          <t>CIN-T-013, CIN-T-014, CIN-T-003</t>
        </is>
      </c>
      <c r="Z109" s="2" t="inlineStr">
        <is>
          <t>Hoàn tất kết quả gốc: Admin / Manager / Staff / Customer.</t>
        </is>
      </c>
      <c r="AA109" s="2" t="inlineStr">
        <is>
          <t>Kết quả gốc được kiểm tra và có bằng chứng gắn với CIN-SUB-108; ngoại lệ được ghi rõ.</t>
        </is>
      </c>
      <c r="AB109" s="2" t="inlineStr">
        <is>
          <t>Planned</t>
        </is>
      </c>
      <c r="AC109" s="2" t="inlineStr">
        <is>
          <t>Planned only; no completion evidence was transferred. Confirm that limited foundation coding is allowed before PA3 design baseline.</t>
        </is>
      </c>
    </row>
    <row r="110">
      <c r="A110" s="2" t="inlineStr">
        <is>
          <t>ORIG-109</t>
        </is>
      </c>
      <c r="B110" s="2" t="n">
        <v>110</v>
      </c>
      <c r="C110" s="2" t="inlineStr">
        <is>
          <t>Authentication &amp; Authorization</t>
        </is>
      </c>
      <c r="D110" s="2" t="n"/>
      <c r="E110" s="2" t="inlineStr">
        <is>
          <t>Authorization</t>
        </is>
      </c>
      <c r="F110" s="2" t="inlineStr">
        <is>
          <t>Giới hạn API theo Role</t>
        </is>
      </c>
      <c r="G110" s="2" t="inlineStr">
        <is>
          <t>Bắt buộc</t>
        </is>
      </c>
      <c r="H110" s="2" t="inlineStr">
        <is>
          <t>Sprint 3</t>
        </is>
      </c>
      <c r="I110" s="2" t="inlineStr">
        <is>
          <t>Đăng nhập và phân quyền cơ bản là cần thiết cho các vai trò hệ thống.</t>
        </is>
      </c>
      <c r="J110" s="2" t="inlineStr">
        <is>
          <t>PH-03</t>
        </is>
      </c>
      <c r="K110" s="2" t="inlineStr">
        <is>
          <t>Core Product Build</t>
        </is>
      </c>
      <c r="L110" s="2" t="inlineStr">
        <is>
          <t>CIN-T-019</t>
        </is>
      </c>
      <c r="M110" s="2" t="inlineStr">
        <is>
          <t>Triển khai đăng ký, đăng nhập và phân quyền</t>
        </is>
      </c>
      <c r="N110" s="2" t="inlineStr">
        <is>
          <t>24120244</t>
        </is>
      </c>
      <c r="O110" s="2" t="inlineStr">
        <is>
          <t>Phan Van Viet</t>
        </is>
      </c>
      <c r="P110" s="2" t="inlineStr">
        <is>
          <t>CIN-SUB-109</t>
        </is>
      </c>
      <c r="Q110" s="2" t="inlineStr">
        <is>
          <t>Sprint 3</t>
        </is>
      </c>
      <c r="R110" s="2" t="inlineStr">
        <is>
          <t>24120255</t>
        </is>
      </c>
      <c r="S110" s="2" t="inlineStr">
        <is>
          <t>Tran Thien An</t>
        </is>
      </c>
      <c r="T110" s="3" t="n">
        <v>46326</v>
      </c>
      <c r="U110" s="3" t="n">
        <v>46339</v>
      </c>
      <c r="V110" s="2" t="n">
        <v>3</v>
      </c>
      <c r="W110" s="2" t="inlineStr">
        <is>
          <t>High</t>
        </is>
      </c>
      <c r="X110" s="2" t="inlineStr">
        <is>
          <t>Backend / Security</t>
        </is>
      </c>
      <c r="Y110" s="2" t="inlineStr">
        <is>
          <t>CIN-T-013, CIN-T-014, CIN-T-003</t>
        </is>
      </c>
      <c r="Z110" s="2" t="inlineStr">
        <is>
          <t>Hoàn tất kết quả gốc: Giới hạn API theo Role.</t>
        </is>
      </c>
      <c r="AA110" s="2" t="inlineStr">
        <is>
          <t>Kết quả gốc được kiểm tra và có bằng chứng gắn với CIN-SUB-109; ngoại lệ được ghi rõ.</t>
        </is>
      </c>
      <c r="AB110" s="2" t="inlineStr">
        <is>
          <t>Planned</t>
        </is>
      </c>
      <c r="AC110" s="2" t="inlineStr">
        <is>
          <t>Planned only; no completion evidence was transferred. Confirm that limited foundation coding is allowed before PA3 design baseline.</t>
        </is>
      </c>
    </row>
    <row r="111">
      <c r="A111" s="2" t="inlineStr">
        <is>
          <t>ORIG-110</t>
        </is>
      </c>
      <c r="B111" s="2" t="n">
        <v>111</v>
      </c>
      <c r="C111" s="2" t="inlineStr">
        <is>
          <t>Authentication &amp; Authorization</t>
        </is>
      </c>
      <c r="D111" s="2" t="n"/>
      <c r="E111" s="2" t="inlineStr">
        <is>
          <t>User Profile</t>
        </is>
      </c>
      <c r="F111" s="2" t="inlineStr">
        <is>
          <t>Xem / cập nhật thông tin cá nhân</t>
        </is>
      </c>
      <c r="G111" s="2" t="inlineStr">
        <is>
          <t>Bắt buộc</t>
        </is>
      </c>
      <c r="H111" s="2" t="inlineStr">
        <is>
          <t>Sprint 3</t>
        </is>
      </c>
      <c r="I111" s="2" t="inlineStr">
        <is>
          <t>Đăng nhập và phân quyền cơ bản là cần thiết cho các vai trò hệ thống.</t>
        </is>
      </c>
      <c r="J111" s="2" t="inlineStr">
        <is>
          <t>PH-03</t>
        </is>
      </c>
      <c r="K111" s="2" t="inlineStr">
        <is>
          <t>Core Product Build</t>
        </is>
      </c>
      <c r="L111" s="2" t="inlineStr">
        <is>
          <t>CIN-T-019</t>
        </is>
      </c>
      <c r="M111" s="2" t="inlineStr">
        <is>
          <t>Triển khai đăng ký, đăng nhập và phân quyền</t>
        </is>
      </c>
      <c r="N111" s="2" t="inlineStr">
        <is>
          <t>24120244</t>
        </is>
      </c>
      <c r="O111" s="2" t="inlineStr">
        <is>
          <t>Phan Van Viet</t>
        </is>
      </c>
      <c r="P111" s="2" t="inlineStr">
        <is>
          <t>CIN-SUB-110</t>
        </is>
      </c>
      <c r="Q111" s="2" t="inlineStr">
        <is>
          <t>Sprint 3</t>
        </is>
      </c>
      <c r="R111" s="2" t="inlineStr">
        <is>
          <t>24120244</t>
        </is>
      </c>
      <c r="S111" s="2" t="inlineStr">
        <is>
          <t>Phan Van Viet</t>
        </is>
      </c>
      <c r="T111" s="3" t="n">
        <v>46326</v>
      </c>
      <c r="U111" s="3" t="n">
        <v>46339</v>
      </c>
      <c r="V111" s="2" t="n">
        <v>2</v>
      </c>
      <c r="W111" s="2" t="inlineStr">
        <is>
          <t>High</t>
        </is>
      </c>
      <c r="X111" s="2" t="inlineStr">
        <is>
          <t>Backend / Security</t>
        </is>
      </c>
      <c r="Y111" s="2" t="inlineStr">
        <is>
          <t>CIN-T-013, CIN-T-014, CIN-T-003</t>
        </is>
      </c>
      <c r="Z111" s="2" t="inlineStr">
        <is>
          <t>Hoàn tất kết quả gốc: Xem / cập nhật thông tin cá nhân.</t>
        </is>
      </c>
      <c r="AA111" s="2" t="inlineStr">
        <is>
          <t>Kết quả gốc được kiểm tra và có bằng chứng gắn với CIN-SUB-110; ngoại lệ được ghi rõ.</t>
        </is>
      </c>
      <c r="AB111" s="2" t="inlineStr">
        <is>
          <t>Planned</t>
        </is>
      </c>
      <c r="AC111" s="2" t="inlineStr">
        <is>
          <t>Planned only; no completion evidence was transferred. Confirm that limited foundation coding is allowed before PA3 design baseline.</t>
        </is>
      </c>
    </row>
    <row r="112">
      <c r="A112" s="2" t="inlineStr">
        <is>
          <t>ORIG-111</t>
        </is>
      </c>
      <c r="B112" s="2" t="n">
        <v>112</v>
      </c>
      <c r="C112" s="2" t="inlineStr">
        <is>
          <t>Authentication &amp; Authorization</t>
        </is>
      </c>
      <c r="D112" s="2" t="n"/>
      <c r="E112" s="2" t="inlineStr">
        <is>
          <t>Change Password</t>
        </is>
      </c>
      <c r="F112" s="2" t="inlineStr">
        <is>
          <t>Đổi mật khẩu</t>
        </is>
      </c>
      <c r="G112" s="2" t="inlineStr">
        <is>
          <t>Bắt buộc</t>
        </is>
      </c>
      <c r="H112" s="2" t="inlineStr">
        <is>
          <t>Sprint 3</t>
        </is>
      </c>
      <c r="I112" s="2" t="inlineStr">
        <is>
          <t>Đăng nhập và phân quyền cơ bản là cần thiết cho các vai trò hệ thống.</t>
        </is>
      </c>
      <c r="J112" s="2" t="inlineStr">
        <is>
          <t>PH-03</t>
        </is>
      </c>
      <c r="K112" s="2" t="inlineStr">
        <is>
          <t>Core Product Build</t>
        </is>
      </c>
      <c r="L112" s="2" t="inlineStr">
        <is>
          <t>CIN-T-019</t>
        </is>
      </c>
      <c r="M112" s="2" t="inlineStr">
        <is>
          <t>Triển khai đăng ký, đăng nhập và phân quyền</t>
        </is>
      </c>
      <c r="N112" s="2" t="inlineStr">
        <is>
          <t>24120244</t>
        </is>
      </c>
      <c r="O112" s="2" t="inlineStr">
        <is>
          <t>Phan Van Viet</t>
        </is>
      </c>
      <c r="P112" s="2" t="inlineStr">
        <is>
          <t>CIN-SUB-111</t>
        </is>
      </c>
      <c r="Q112" s="2" t="inlineStr">
        <is>
          <t>Sprint 3</t>
        </is>
      </c>
      <c r="R112" s="2" t="inlineStr">
        <is>
          <t>24120235</t>
        </is>
      </c>
      <c r="S112" s="2" t="inlineStr">
        <is>
          <t>Huynh Thanh Tu</t>
        </is>
      </c>
      <c r="T112" s="3" t="n">
        <v>46326</v>
      </c>
      <c r="U112" s="3" t="n">
        <v>46339</v>
      </c>
      <c r="V112" s="2" t="n">
        <v>2</v>
      </c>
      <c r="W112" s="2" t="inlineStr">
        <is>
          <t>High</t>
        </is>
      </c>
      <c r="X112" s="2" t="inlineStr">
        <is>
          <t>Backend / Security</t>
        </is>
      </c>
      <c r="Y112" s="2" t="inlineStr">
        <is>
          <t>CIN-T-013, CIN-T-014, CIN-T-003</t>
        </is>
      </c>
      <c r="Z112" s="2" t="inlineStr">
        <is>
          <t>Hoàn tất kết quả gốc: Đổi mật khẩu.</t>
        </is>
      </c>
      <c r="AA112" s="2" t="inlineStr">
        <is>
          <t>Kết quả gốc được kiểm tra và có bằng chứng gắn với CIN-SUB-111; ngoại lệ được ghi rõ.</t>
        </is>
      </c>
      <c r="AB112" s="2" t="inlineStr">
        <is>
          <t>Planned</t>
        </is>
      </c>
      <c r="AC112" s="2" t="inlineStr">
        <is>
          <t>Planned only; no completion evidence was transferred. Confirm that limited foundation coding is allowed before PA3 design baseline.</t>
        </is>
      </c>
    </row>
    <row r="113">
      <c r="A113" s="2" t="inlineStr">
        <is>
          <t>ORIG-112</t>
        </is>
      </c>
      <c r="B113" s="2" t="n">
        <v>113</v>
      </c>
      <c r="C113" s="2" t="inlineStr">
        <is>
          <t>Business Logic – Movie / Cinema</t>
        </is>
      </c>
      <c r="D113" s="2" t="inlineStr">
        <is>
          <t>Logic quản lý phim/phòng/ghế</t>
        </is>
      </c>
      <c r="E113" s="2" t="inlineStr">
        <is>
          <t>Quản lý Movie</t>
        </is>
      </c>
      <c r="F113" s="2" t="inlineStr">
        <is>
          <t>Thêm / sửa / xóa / xem phim</t>
        </is>
      </c>
      <c r="G113" s="2" t="inlineStr">
        <is>
          <t>Bắt buộc</t>
        </is>
      </c>
      <c r="H113" s="2" t="inlineStr">
        <is>
          <t>Sprint 3</t>
        </is>
      </c>
      <c r="I113" s="2" t="inlineStr">
        <is>
          <t>Nghiệp vụ quản lý phim, phòng và ghế.</t>
        </is>
      </c>
      <c r="J113" s="2" t="inlineStr">
        <is>
          <t>PH-03</t>
        </is>
      </c>
      <c r="K113" s="2" t="inlineStr">
        <is>
          <t>Core Product Build</t>
        </is>
      </c>
      <c r="L113" s="2" t="inlineStr">
        <is>
          <t>CIN-T-020</t>
        </is>
      </c>
      <c r="M113" s="2" t="inlineStr">
        <is>
          <t>Xây nghiệp vụ quản lý phim, phòng, ghế và loại vé</t>
        </is>
      </c>
      <c r="N113" s="2" t="inlineStr">
        <is>
          <t>24120271</t>
        </is>
      </c>
      <c r="O113" s="2" t="inlineStr">
        <is>
          <t>Nguyen Trung Chinh</t>
        </is>
      </c>
      <c r="P113" s="2" t="inlineStr">
        <is>
          <t>CIN-SUB-112</t>
        </is>
      </c>
      <c r="Q113" s="2" t="inlineStr">
        <is>
          <t>Sprint 3</t>
        </is>
      </c>
      <c r="R113" s="2" t="inlineStr">
        <is>
          <t>24120271</t>
        </is>
      </c>
      <c r="S113" s="2" t="inlineStr">
        <is>
          <t>Nguyen Trung Chinh</t>
        </is>
      </c>
      <c r="T113" s="3" t="n">
        <v>46326</v>
      </c>
      <c r="U113" s="3" t="n">
        <v>46339</v>
      </c>
      <c r="V113" s="2" t="n">
        <v>2</v>
      </c>
      <c r="W113" s="2" t="inlineStr">
        <is>
          <t>High</t>
        </is>
      </c>
      <c r="X113" s="2" t="inlineStr">
        <is>
          <t>Backend Development</t>
        </is>
      </c>
      <c r="Y113" s="2" t="inlineStr">
        <is>
          <t>CIN-T-015, CIN-T-019</t>
        </is>
      </c>
      <c r="Z113" s="2" t="inlineStr">
        <is>
          <t>Hoàn tất kết quả gốc: Thêm / sửa / xóa / xem phim.</t>
        </is>
      </c>
      <c r="AA113" s="2" t="inlineStr">
        <is>
          <t>Kết quả gốc được kiểm tra và có bằng chứng gắn với CIN-SUB-112; ngoại lệ được ghi rõ.</t>
        </is>
      </c>
      <c r="AB113" s="2" t="inlineStr">
        <is>
          <t>Planned</t>
        </is>
      </c>
      <c r="AC113" s="2" t="inlineStr">
        <is>
          <t>Planned only; no completion evidence was transferred. Confirm that limited foundation coding is allowed before PA3 design baseline.</t>
        </is>
      </c>
    </row>
    <row r="114">
      <c r="A114" s="2" t="inlineStr">
        <is>
          <t>ORIG-113</t>
        </is>
      </c>
      <c r="B114" s="2" t="n">
        <v>114</v>
      </c>
      <c r="C114" s="2" t="inlineStr">
        <is>
          <t>Business Logic – Movie / Cinema</t>
        </is>
      </c>
      <c r="D114" s="2" t="n"/>
      <c r="E114" s="2" t="inlineStr">
        <is>
          <t>Quản lý Genre</t>
        </is>
      </c>
      <c r="F114" s="2" t="inlineStr">
        <is>
          <t>CRUD thể loại</t>
        </is>
      </c>
      <c r="G114" s="2" t="inlineStr">
        <is>
          <t>Bắt buộc</t>
        </is>
      </c>
      <c r="H114" s="2" t="inlineStr">
        <is>
          <t>Sprint 3</t>
        </is>
      </c>
      <c r="I114" s="2" t="inlineStr">
        <is>
          <t>Nghiệp vụ quản lý phim, phòng và ghế.</t>
        </is>
      </c>
      <c r="J114" s="2" t="inlineStr">
        <is>
          <t>PH-03</t>
        </is>
      </c>
      <c r="K114" s="2" t="inlineStr">
        <is>
          <t>Core Product Build</t>
        </is>
      </c>
      <c r="L114" s="2" t="inlineStr">
        <is>
          <t>CIN-T-020</t>
        </is>
      </c>
      <c r="M114" s="2" t="inlineStr">
        <is>
          <t>Xây nghiệp vụ quản lý phim, phòng, ghế và loại vé</t>
        </is>
      </c>
      <c r="N114" s="2" t="inlineStr">
        <is>
          <t>24120271</t>
        </is>
      </c>
      <c r="O114" s="2" t="inlineStr">
        <is>
          <t>Nguyen Trung Chinh</t>
        </is>
      </c>
      <c r="P114" s="2" t="inlineStr">
        <is>
          <t>CIN-SUB-113</t>
        </is>
      </c>
      <c r="Q114" s="2" t="inlineStr">
        <is>
          <t>Sprint 3</t>
        </is>
      </c>
      <c r="R114" s="2" t="inlineStr">
        <is>
          <t>24120098</t>
        </is>
      </c>
      <c r="S114" s="2" t="inlineStr">
        <is>
          <t>Nguyen Quoc Nam</t>
        </is>
      </c>
      <c r="T114" s="3" t="n">
        <v>46326</v>
      </c>
      <c r="U114" s="3" t="n">
        <v>46339</v>
      </c>
      <c r="V114" s="2" t="n">
        <v>2</v>
      </c>
      <c r="W114" s="2" t="inlineStr">
        <is>
          <t>High</t>
        </is>
      </c>
      <c r="X114" s="2" t="inlineStr">
        <is>
          <t>Backend Development</t>
        </is>
      </c>
      <c r="Y114" s="2" t="inlineStr">
        <is>
          <t>CIN-T-015, CIN-T-019</t>
        </is>
      </c>
      <c r="Z114" s="2" t="inlineStr">
        <is>
          <t>Hoàn tất kết quả gốc: CRUD thể loại.</t>
        </is>
      </c>
      <c r="AA114" s="2" t="inlineStr">
        <is>
          <t>Kết quả gốc được kiểm tra và có bằng chứng gắn với CIN-SUB-113; ngoại lệ được ghi rõ.</t>
        </is>
      </c>
      <c r="AB114" s="2" t="inlineStr">
        <is>
          <t>Planned</t>
        </is>
      </c>
      <c r="AC114" s="2" t="inlineStr">
        <is>
          <t>Planned only; no completion evidence was transferred. Confirm that limited foundation coding is allowed before PA3 design baseline.</t>
        </is>
      </c>
    </row>
    <row r="115">
      <c r="A115" s="2" t="inlineStr">
        <is>
          <t>ORIG-114</t>
        </is>
      </c>
      <c r="B115" s="2" t="n">
        <v>115</v>
      </c>
      <c r="C115" s="2" t="inlineStr">
        <is>
          <t>Business Logic – Movie / Cinema</t>
        </is>
      </c>
      <c r="D115" s="2" t="n"/>
      <c r="E115" s="2" t="inlineStr">
        <is>
          <t>Quản lý Cinema Room</t>
        </is>
      </c>
      <c r="F115" s="2" t="inlineStr">
        <is>
          <t>CRUD phòng</t>
        </is>
      </c>
      <c r="G115" s="2" t="inlineStr">
        <is>
          <t>Bắt buộc</t>
        </is>
      </c>
      <c r="H115" s="2" t="inlineStr">
        <is>
          <t>Sprint 3</t>
        </is>
      </c>
      <c r="I115" s="2" t="inlineStr">
        <is>
          <t>Nghiệp vụ quản lý phim, phòng và ghế.</t>
        </is>
      </c>
      <c r="J115" s="2" t="inlineStr">
        <is>
          <t>PH-03</t>
        </is>
      </c>
      <c r="K115" s="2" t="inlineStr">
        <is>
          <t>Core Product Build</t>
        </is>
      </c>
      <c r="L115" s="2" t="inlineStr">
        <is>
          <t>CIN-T-020</t>
        </is>
      </c>
      <c r="M115" s="2" t="inlineStr">
        <is>
          <t>Xây nghiệp vụ quản lý phim, phòng, ghế và loại vé</t>
        </is>
      </c>
      <c r="N115" s="2" t="inlineStr">
        <is>
          <t>24120271</t>
        </is>
      </c>
      <c r="O115" s="2" t="inlineStr">
        <is>
          <t>Nguyen Trung Chinh</t>
        </is>
      </c>
      <c r="P115" s="2" t="inlineStr">
        <is>
          <t>CIN-SUB-114</t>
        </is>
      </c>
      <c r="Q115" s="2" t="inlineStr">
        <is>
          <t>Sprint 3</t>
        </is>
      </c>
      <c r="R115" s="2" t="inlineStr">
        <is>
          <t>24120244</t>
        </is>
      </c>
      <c r="S115" s="2" t="inlineStr">
        <is>
          <t>Phan Van Viet</t>
        </is>
      </c>
      <c r="T115" s="3" t="n">
        <v>46326</v>
      </c>
      <c r="U115" s="3" t="n">
        <v>46339</v>
      </c>
      <c r="V115" s="2" t="n">
        <v>2</v>
      </c>
      <c r="W115" s="2" t="inlineStr">
        <is>
          <t>High</t>
        </is>
      </c>
      <c r="X115" s="2" t="inlineStr">
        <is>
          <t>Backend Development</t>
        </is>
      </c>
      <c r="Y115" s="2" t="inlineStr">
        <is>
          <t>CIN-T-015, CIN-T-019</t>
        </is>
      </c>
      <c r="Z115" s="2" t="inlineStr">
        <is>
          <t>Hoàn tất kết quả gốc: CRUD phòng.</t>
        </is>
      </c>
      <c r="AA115" s="2" t="inlineStr">
        <is>
          <t>Kết quả gốc được kiểm tra và có bằng chứng gắn với CIN-SUB-114; ngoại lệ được ghi rõ.</t>
        </is>
      </c>
      <c r="AB115" s="2" t="inlineStr">
        <is>
          <t>Planned</t>
        </is>
      </c>
      <c r="AC115" s="2" t="inlineStr">
        <is>
          <t>Planned only; no completion evidence was transferred. Confirm that limited foundation coding is allowed before PA3 design baseline.</t>
        </is>
      </c>
    </row>
    <row r="116">
      <c r="A116" s="2" t="inlineStr">
        <is>
          <t>ORIG-115</t>
        </is>
      </c>
      <c r="B116" s="2" t="n">
        <v>116</v>
      </c>
      <c r="C116" s="2" t="inlineStr">
        <is>
          <t>Business Logic – Movie / Cinema</t>
        </is>
      </c>
      <c r="D116" s="2" t="n"/>
      <c r="E116" s="2" t="inlineStr">
        <is>
          <t>Quản lý Seat</t>
        </is>
      </c>
      <c r="F116" s="2" t="inlineStr">
        <is>
          <t>Thiết lập sơ đồ ghế</t>
        </is>
      </c>
      <c r="G116" s="2" t="inlineStr">
        <is>
          <t>Bắt buộc</t>
        </is>
      </c>
      <c r="H116" s="2" t="inlineStr">
        <is>
          <t>Sprint 3</t>
        </is>
      </c>
      <c r="I116" s="2" t="inlineStr">
        <is>
          <t>Nghiệp vụ quản lý phim, phòng và ghế.</t>
        </is>
      </c>
      <c r="J116" s="2" t="inlineStr">
        <is>
          <t>PH-03</t>
        </is>
      </c>
      <c r="K116" s="2" t="inlineStr">
        <is>
          <t>Core Product Build</t>
        </is>
      </c>
      <c r="L116" s="2" t="inlineStr">
        <is>
          <t>CIN-T-020</t>
        </is>
      </c>
      <c r="M116" s="2" t="inlineStr">
        <is>
          <t>Xây nghiệp vụ quản lý phim, phòng, ghế và loại vé</t>
        </is>
      </c>
      <c r="N116" s="2" t="inlineStr">
        <is>
          <t>24120271</t>
        </is>
      </c>
      <c r="O116" s="2" t="inlineStr">
        <is>
          <t>Nguyen Trung Chinh</t>
        </is>
      </c>
      <c r="P116" s="2" t="inlineStr">
        <is>
          <t>CIN-SUB-115</t>
        </is>
      </c>
      <c r="Q116" s="2" t="inlineStr">
        <is>
          <t>Sprint 3</t>
        </is>
      </c>
      <c r="R116" s="2" t="inlineStr">
        <is>
          <t>24120255</t>
        </is>
      </c>
      <c r="S116" s="2" t="inlineStr">
        <is>
          <t>Tran Thien An</t>
        </is>
      </c>
      <c r="T116" s="3" t="n">
        <v>46326</v>
      </c>
      <c r="U116" s="3" t="n">
        <v>46339</v>
      </c>
      <c r="V116" s="2" t="n">
        <v>2</v>
      </c>
      <c r="W116" s="2" t="inlineStr">
        <is>
          <t>High</t>
        </is>
      </c>
      <c r="X116" s="2" t="inlineStr">
        <is>
          <t>Backend Development</t>
        </is>
      </c>
      <c r="Y116" s="2" t="inlineStr">
        <is>
          <t>CIN-T-015, CIN-T-019</t>
        </is>
      </c>
      <c r="Z116" s="2" t="inlineStr">
        <is>
          <t>Hoàn tất kết quả gốc: Thiết lập sơ đồ ghế.</t>
        </is>
      </c>
      <c r="AA116" s="2" t="inlineStr">
        <is>
          <t>Kết quả gốc được kiểm tra và có bằng chứng gắn với CIN-SUB-115; ngoại lệ được ghi rõ.</t>
        </is>
      </c>
      <c r="AB116" s="2" t="inlineStr">
        <is>
          <t>Planned</t>
        </is>
      </c>
      <c r="AC116" s="2" t="inlineStr">
        <is>
          <t>Planned only; no completion evidence was transferred. Confirm that limited foundation coding is allowed before PA3 design baseline.</t>
        </is>
      </c>
    </row>
    <row r="117">
      <c r="A117" s="2" t="inlineStr">
        <is>
          <t>ORIG-116</t>
        </is>
      </c>
      <c r="B117" s="2" t="n">
        <v>117</v>
      </c>
      <c r="C117" s="2" t="inlineStr">
        <is>
          <t>Business Logic – Movie / Cinema</t>
        </is>
      </c>
      <c r="D117" s="2" t="n"/>
      <c r="E117" s="2" t="inlineStr">
        <is>
          <t>Quản lý Seat Type</t>
        </is>
      </c>
      <c r="F117" s="2" t="inlineStr">
        <is>
          <t>Standard / VIP / Couple,...</t>
        </is>
      </c>
      <c r="G117" s="2" t="inlineStr">
        <is>
          <t>Bắt buộc</t>
        </is>
      </c>
      <c r="H117" s="2" t="inlineStr">
        <is>
          <t>Sprint 3</t>
        </is>
      </c>
      <c r="I117" s="2" t="inlineStr">
        <is>
          <t>Nghiệp vụ quản lý phim, phòng và ghế.</t>
        </is>
      </c>
      <c r="J117" s="2" t="inlineStr">
        <is>
          <t>PH-03</t>
        </is>
      </c>
      <c r="K117" s="2" t="inlineStr">
        <is>
          <t>Core Product Build</t>
        </is>
      </c>
      <c r="L117" s="2" t="inlineStr">
        <is>
          <t>CIN-T-020</t>
        </is>
      </c>
      <c r="M117" s="2" t="inlineStr">
        <is>
          <t>Xây nghiệp vụ quản lý phim, phòng, ghế và loại vé</t>
        </is>
      </c>
      <c r="N117" s="2" t="inlineStr">
        <is>
          <t>24120271</t>
        </is>
      </c>
      <c r="O117" s="2" t="inlineStr">
        <is>
          <t>Nguyen Trung Chinh</t>
        </is>
      </c>
      <c r="P117" s="2" t="inlineStr">
        <is>
          <t>CIN-SUB-116</t>
        </is>
      </c>
      <c r="Q117" s="2" t="inlineStr">
        <is>
          <t>Sprint 3</t>
        </is>
      </c>
      <c r="R117" s="2" t="inlineStr">
        <is>
          <t>24120235</t>
        </is>
      </c>
      <c r="S117" s="2" t="inlineStr">
        <is>
          <t>Huynh Thanh Tu</t>
        </is>
      </c>
      <c r="T117" s="3" t="n">
        <v>46326</v>
      </c>
      <c r="U117" s="3" t="n">
        <v>46339</v>
      </c>
      <c r="V117" s="2" t="n">
        <v>2</v>
      </c>
      <c r="W117" s="2" t="inlineStr">
        <is>
          <t>High</t>
        </is>
      </c>
      <c r="X117" s="2" t="inlineStr">
        <is>
          <t>Backend Development</t>
        </is>
      </c>
      <c r="Y117" s="2" t="inlineStr">
        <is>
          <t>CIN-T-015, CIN-T-019</t>
        </is>
      </c>
      <c r="Z117" s="2" t="inlineStr">
        <is>
          <t>Hoàn tất kết quả gốc: Standard / VIP / Couple,....</t>
        </is>
      </c>
      <c r="AA117" s="2" t="inlineStr">
        <is>
          <t>Kết quả gốc được kiểm tra và có bằng chứng gắn với CIN-SUB-116; ngoại lệ được ghi rõ.</t>
        </is>
      </c>
      <c r="AB117" s="2" t="inlineStr">
        <is>
          <t>Planned</t>
        </is>
      </c>
      <c r="AC117" s="2" t="inlineStr">
        <is>
          <t>Planned only; no completion evidence was transferred. Confirm that limited foundation coding is allowed before PA3 design baseline.</t>
        </is>
      </c>
    </row>
    <row r="118">
      <c r="A118" s="2" t="inlineStr">
        <is>
          <t>ORIG-117</t>
        </is>
      </c>
      <c r="B118" s="2" t="n">
        <v>118</v>
      </c>
      <c r="C118" s="2" t="inlineStr">
        <is>
          <t>Business Logic – Movie / Cinema</t>
        </is>
      </c>
      <c r="D118" s="2" t="n"/>
      <c r="E118" s="2" t="inlineStr">
        <is>
          <t>Quản lý Ticket Type</t>
        </is>
      </c>
      <c r="F118" s="2" t="inlineStr">
        <is>
          <t>Adult / Child / Student,...</t>
        </is>
      </c>
      <c r="G118" s="2" t="inlineStr">
        <is>
          <t>Bắt buộc</t>
        </is>
      </c>
      <c r="H118" s="2" t="inlineStr">
        <is>
          <t>Sprint 3</t>
        </is>
      </c>
      <c r="I118" s="2" t="inlineStr">
        <is>
          <t>Nghiệp vụ quản lý phim, phòng và ghế.</t>
        </is>
      </c>
      <c r="J118" s="2" t="inlineStr">
        <is>
          <t>PH-03</t>
        </is>
      </c>
      <c r="K118" s="2" t="inlineStr">
        <is>
          <t>Core Product Build</t>
        </is>
      </c>
      <c r="L118" s="2" t="inlineStr">
        <is>
          <t>CIN-T-020</t>
        </is>
      </c>
      <c r="M118" s="2" t="inlineStr">
        <is>
          <t>Xây nghiệp vụ quản lý phim, phòng, ghế và loại vé</t>
        </is>
      </c>
      <c r="N118" s="2" t="inlineStr">
        <is>
          <t>24120271</t>
        </is>
      </c>
      <c r="O118" s="2" t="inlineStr">
        <is>
          <t>Nguyen Trung Chinh</t>
        </is>
      </c>
      <c r="P118" s="2" t="inlineStr">
        <is>
          <t>CIN-SUB-117</t>
        </is>
      </c>
      <c r="Q118" s="2" t="inlineStr">
        <is>
          <t>Sprint 3</t>
        </is>
      </c>
      <c r="R118" s="2" t="inlineStr">
        <is>
          <t>24120271</t>
        </is>
      </c>
      <c r="S118" s="2" t="inlineStr">
        <is>
          <t>Nguyen Trung Chinh</t>
        </is>
      </c>
      <c r="T118" s="3" t="n">
        <v>46326</v>
      </c>
      <c r="U118" s="3" t="n">
        <v>46339</v>
      </c>
      <c r="V118" s="2" t="n">
        <v>3</v>
      </c>
      <c r="W118" s="2" t="inlineStr">
        <is>
          <t>High</t>
        </is>
      </c>
      <c r="X118" s="2" t="inlineStr">
        <is>
          <t>Backend Development</t>
        </is>
      </c>
      <c r="Y118" s="2" t="inlineStr">
        <is>
          <t>CIN-T-015, CIN-T-019</t>
        </is>
      </c>
      <c r="Z118" s="2" t="inlineStr">
        <is>
          <t>Hoàn tất kết quả gốc: Adult / Child / Student,....</t>
        </is>
      </c>
      <c r="AA118" s="2" t="inlineStr">
        <is>
          <t>Kết quả gốc được kiểm tra và có bằng chứng gắn với CIN-SUB-117; ngoại lệ được ghi rõ.</t>
        </is>
      </c>
      <c r="AB118" s="2" t="inlineStr">
        <is>
          <t>Planned</t>
        </is>
      </c>
      <c r="AC118" s="2" t="inlineStr">
        <is>
          <t>Planned only; no completion evidence was transferred. Confirm that limited foundation coding is allowed before PA3 design baseline.</t>
        </is>
      </c>
    </row>
    <row r="119">
      <c r="A119" s="2" t="inlineStr">
        <is>
          <t>ORIG-118</t>
        </is>
      </c>
      <c r="B119" s="2" t="n">
        <v>119</v>
      </c>
      <c r="C119" s="2" t="inlineStr">
        <is>
          <t>Business Logic – Showtime</t>
        </is>
      </c>
      <c r="D119" s="2" t="inlineStr">
        <is>
          <t>Logic suất chiếu</t>
        </is>
      </c>
      <c r="E119" s="2" t="inlineStr">
        <is>
          <t>Tạo Showtime</t>
        </is>
      </c>
      <c r="F119" s="2" t="inlineStr">
        <is>
          <t>Tạo suất chiếu cho phim và phòng</t>
        </is>
      </c>
      <c r="G119" s="2" t="inlineStr">
        <is>
          <t>Bắt buộc</t>
        </is>
      </c>
      <c r="H119" s="2" t="inlineStr">
        <is>
          <t>Sprint 3</t>
        </is>
      </c>
      <c r="I119" s="2" t="inlineStr">
        <is>
          <t>Tạo và kiểm tra lịch chiếu.</t>
        </is>
      </c>
      <c r="J119" s="2" t="inlineStr">
        <is>
          <t>PH-03</t>
        </is>
      </c>
      <c r="K119" s="2" t="inlineStr">
        <is>
          <t>Core Product Build</t>
        </is>
      </c>
      <c r="L119" s="2" t="inlineStr">
        <is>
          <t>CIN-T-021</t>
        </is>
      </c>
      <c r="M119" s="2" t="inlineStr">
        <is>
          <t>Xây nghiệp vụ suất chiếu và kiểm tra lịch</t>
        </is>
      </c>
      <c r="N119" s="2" t="inlineStr">
        <is>
          <t>24120098</t>
        </is>
      </c>
      <c r="O119" s="2" t="inlineStr">
        <is>
          <t>Nguyen Quoc Nam</t>
        </is>
      </c>
      <c r="P119" s="2" t="inlineStr">
        <is>
          <t>CIN-SUB-118</t>
        </is>
      </c>
      <c r="Q119" s="2" t="inlineStr">
        <is>
          <t>Sprint 3</t>
        </is>
      </c>
      <c r="R119" s="2" t="inlineStr">
        <is>
          <t>24120098</t>
        </is>
      </c>
      <c r="S119" s="2" t="inlineStr">
        <is>
          <t>Nguyen Quoc Nam</t>
        </is>
      </c>
      <c r="T119" s="3" t="n">
        <v>46326</v>
      </c>
      <c r="U119" s="3" t="n">
        <v>46339</v>
      </c>
      <c r="V119" s="2" t="n">
        <v>2</v>
      </c>
      <c r="W119" s="2" t="inlineStr">
        <is>
          <t>High</t>
        </is>
      </c>
      <c r="X119" s="2" t="inlineStr">
        <is>
          <t>Backend Development</t>
        </is>
      </c>
      <c r="Y119" s="2" t="inlineStr">
        <is>
          <t>CIN-T-020</t>
        </is>
      </c>
      <c r="Z119" s="2" t="inlineStr">
        <is>
          <t>Hoàn tất kết quả gốc: Tạo suất chiếu cho phim và phòng.</t>
        </is>
      </c>
      <c r="AA119" s="2" t="inlineStr">
        <is>
          <t>Kết quả gốc được kiểm tra và có bằng chứng gắn với CIN-SUB-118; ngoại lệ được ghi rõ.</t>
        </is>
      </c>
      <c r="AB119" s="2" t="inlineStr">
        <is>
          <t>Planned</t>
        </is>
      </c>
      <c r="AC119" s="2" t="inlineStr">
        <is>
          <t>Planned only; no completion evidence was transferred. Confirm that limited foundation coding is allowed before PA3 design baseline.</t>
        </is>
      </c>
    </row>
    <row r="120">
      <c r="A120" s="2" t="inlineStr">
        <is>
          <t>ORIG-119</t>
        </is>
      </c>
      <c r="B120" s="2" t="n">
        <v>120</v>
      </c>
      <c r="C120" s="2" t="inlineStr">
        <is>
          <t>Business Logic – Showtime</t>
        </is>
      </c>
      <c r="D120" s="2" t="n"/>
      <c r="E120" s="2" t="inlineStr">
        <is>
          <t>Kiểm tra thời gian phim</t>
        </is>
      </c>
      <c r="F120" s="2" t="inlineStr">
        <is>
          <t>Không tạo suất chiếu không hợp lệ</t>
        </is>
      </c>
      <c r="G120" s="2" t="inlineStr">
        <is>
          <t>Bắt buộc</t>
        </is>
      </c>
      <c r="H120" s="2" t="inlineStr">
        <is>
          <t>Sprint 3</t>
        </is>
      </c>
      <c r="I120" s="2" t="inlineStr">
        <is>
          <t>Tạo và kiểm tra lịch chiếu.</t>
        </is>
      </c>
      <c r="J120" s="2" t="inlineStr">
        <is>
          <t>PH-03</t>
        </is>
      </c>
      <c r="K120" s="2" t="inlineStr">
        <is>
          <t>Core Product Build</t>
        </is>
      </c>
      <c r="L120" s="2" t="inlineStr">
        <is>
          <t>CIN-T-021</t>
        </is>
      </c>
      <c r="M120" s="2" t="inlineStr">
        <is>
          <t>Xây nghiệp vụ suất chiếu và kiểm tra lịch</t>
        </is>
      </c>
      <c r="N120" s="2" t="inlineStr">
        <is>
          <t>24120098</t>
        </is>
      </c>
      <c r="O120" s="2" t="inlineStr">
        <is>
          <t>Nguyen Quoc Nam</t>
        </is>
      </c>
      <c r="P120" s="2" t="inlineStr">
        <is>
          <t>CIN-SUB-119</t>
        </is>
      </c>
      <c r="Q120" s="2" t="inlineStr">
        <is>
          <t>Sprint 3</t>
        </is>
      </c>
      <c r="R120" s="2" t="inlineStr">
        <is>
          <t>24120244</t>
        </is>
      </c>
      <c r="S120" s="2" t="inlineStr">
        <is>
          <t>Phan Van Viet</t>
        </is>
      </c>
      <c r="T120" s="3" t="n">
        <v>46326</v>
      </c>
      <c r="U120" s="3" t="n">
        <v>46339</v>
      </c>
      <c r="V120" s="2" t="n">
        <v>2</v>
      </c>
      <c r="W120" s="2" t="inlineStr">
        <is>
          <t>High</t>
        </is>
      </c>
      <c r="X120" s="2" t="inlineStr">
        <is>
          <t>Backend Development</t>
        </is>
      </c>
      <c r="Y120" s="2" t="inlineStr">
        <is>
          <t>CIN-T-020</t>
        </is>
      </c>
      <c r="Z120" s="2" t="inlineStr">
        <is>
          <t>Hoàn tất kết quả gốc: Không tạo suất chiếu không hợp lệ.</t>
        </is>
      </c>
      <c r="AA120" s="2" t="inlineStr">
        <is>
          <t>Kết quả gốc được kiểm tra và có bằng chứng gắn với CIN-SUB-119; ngoại lệ được ghi rõ.</t>
        </is>
      </c>
      <c r="AB120" s="2" t="inlineStr">
        <is>
          <t>Planned</t>
        </is>
      </c>
      <c r="AC120" s="2" t="inlineStr">
        <is>
          <t>Planned only; no completion evidence was transferred. Confirm that limited foundation coding is allowed before PA3 design baseline.</t>
        </is>
      </c>
    </row>
    <row r="121">
      <c r="A121" s="2" t="inlineStr">
        <is>
          <t>ORIG-120</t>
        </is>
      </c>
      <c r="B121" s="2" t="n">
        <v>121</v>
      </c>
      <c r="C121" s="2" t="inlineStr">
        <is>
          <t>Business Logic – Showtime</t>
        </is>
      </c>
      <c r="D121" s="2" t="n"/>
      <c r="E121" s="2" t="inlineStr">
        <is>
          <t>Kiểm tra trùng lịch</t>
        </is>
      </c>
      <c r="F121" s="2" t="inlineStr">
        <is>
          <t>Không cho phép phòng có suất chiếu chồng nhau</t>
        </is>
      </c>
      <c r="G121" s="2" t="inlineStr">
        <is>
          <t>Bắt buộc</t>
        </is>
      </c>
      <c r="H121" s="2" t="inlineStr">
        <is>
          <t>Sprint 3</t>
        </is>
      </c>
      <c r="I121" s="2" t="inlineStr">
        <is>
          <t>Tạo và kiểm tra lịch chiếu.</t>
        </is>
      </c>
      <c r="J121" s="2" t="inlineStr">
        <is>
          <t>PH-03</t>
        </is>
      </c>
      <c r="K121" s="2" t="inlineStr">
        <is>
          <t>Core Product Build</t>
        </is>
      </c>
      <c r="L121" s="2" t="inlineStr">
        <is>
          <t>CIN-T-021</t>
        </is>
      </c>
      <c r="M121" s="2" t="inlineStr">
        <is>
          <t>Xây nghiệp vụ suất chiếu và kiểm tra lịch</t>
        </is>
      </c>
      <c r="N121" s="2" t="inlineStr">
        <is>
          <t>24120098</t>
        </is>
      </c>
      <c r="O121" s="2" t="inlineStr">
        <is>
          <t>Nguyen Quoc Nam</t>
        </is>
      </c>
      <c r="P121" s="2" t="inlineStr">
        <is>
          <t>CIN-SUB-120</t>
        </is>
      </c>
      <c r="Q121" s="2" t="inlineStr">
        <is>
          <t>Sprint 3</t>
        </is>
      </c>
      <c r="R121" s="2" t="inlineStr">
        <is>
          <t>24120255</t>
        </is>
      </c>
      <c r="S121" s="2" t="inlineStr">
        <is>
          <t>Tran Thien An</t>
        </is>
      </c>
      <c r="T121" s="3" t="n">
        <v>46326</v>
      </c>
      <c r="U121" s="3" t="n">
        <v>46339</v>
      </c>
      <c r="V121" s="2" t="n">
        <v>2</v>
      </c>
      <c r="W121" s="2" t="inlineStr">
        <is>
          <t>High</t>
        </is>
      </c>
      <c r="X121" s="2" t="inlineStr">
        <is>
          <t>Backend Development</t>
        </is>
      </c>
      <c r="Y121" s="2" t="inlineStr">
        <is>
          <t>CIN-T-020</t>
        </is>
      </c>
      <c r="Z121" s="2" t="inlineStr">
        <is>
          <t>Hoàn tất kết quả gốc: Không cho phép phòng có suất chiếu chồng nhau.</t>
        </is>
      </c>
      <c r="AA121" s="2" t="inlineStr">
        <is>
          <t>Kết quả gốc được kiểm tra và có bằng chứng gắn với CIN-SUB-120; ngoại lệ được ghi rõ.</t>
        </is>
      </c>
      <c r="AB121" s="2" t="inlineStr">
        <is>
          <t>Planned</t>
        </is>
      </c>
      <c r="AC121" s="2" t="inlineStr">
        <is>
          <t>Planned only; no completion evidence was transferred. Confirm that limited foundation coding is allowed before PA3 design baseline.</t>
        </is>
      </c>
    </row>
    <row r="122">
      <c r="A122" s="2" t="inlineStr">
        <is>
          <t>ORIG-121</t>
        </is>
      </c>
      <c r="B122" s="2" t="n">
        <v>122</v>
      </c>
      <c r="C122" s="2" t="inlineStr">
        <is>
          <t>Business Logic – Showtime</t>
        </is>
      </c>
      <c r="D122" s="2" t="n"/>
      <c r="E122" s="2" t="inlineStr">
        <is>
          <t>Quản lý trạng thái Showtime</t>
        </is>
      </c>
      <c r="F122" s="2" t="inlineStr">
        <is>
          <t>Scheduled / Ongoing / Finished / Cancelled</t>
        </is>
      </c>
      <c r="G122" s="2" t="inlineStr">
        <is>
          <t>Bắt buộc</t>
        </is>
      </c>
      <c r="H122" s="2" t="inlineStr">
        <is>
          <t>Sprint 3</t>
        </is>
      </c>
      <c r="I122" s="2" t="inlineStr">
        <is>
          <t>Tạo và kiểm tra lịch chiếu.</t>
        </is>
      </c>
      <c r="J122" s="2" t="inlineStr">
        <is>
          <t>PH-03</t>
        </is>
      </c>
      <c r="K122" s="2" t="inlineStr">
        <is>
          <t>Core Product Build</t>
        </is>
      </c>
      <c r="L122" s="2" t="inlineStr">
        <is>
          <t>CIN-T-021</t>
        </is>
      </c>
      <c r="M122" s="2" t="inlineStr">
        <is>
          <t>Xây nghiệp vụ suất chiếu và kiểm tra lịch</t>
        </is>
      </c>
      <c r="N122" s="2" t="inlineStr">
        <is>
          <t>24120098</t>
        </is>
      </c>
      <c r="O122" s="2" t="inlineStr">
        <is>
          <t>Nguyen Quoc Nam</t>
        </is>
      </c>
      <c r="P122" s="2" t="inlineStr">
        <is>
          <t>CIN-SUB-121</t>
        </is>
      </c>
      <c r="Q122" s="2" t="inlineStr">
        <is>
          <t>Sprint 3</t>
        </is>
      </c>
      <c r="R122" s="2" t="inlineStr">
        <is>
          <t>24120235</t>
        </is>
      </c>
      <c r="S122" s="2" t="inlineStr">
        <is>
          <t>Huynh Thanh Tu</t>
        </is>
      </c>
      <c r="T122" s="3" t="n">
        <v>46326</v>
      </c>
      <c r="U122" s="3" t="n">
        <v>46339</v>
      </c>
      <c r="V122" s="2" t="n">
        <v>2</v>
      </c>
      <c r="W122" s="2" t="inlineStr">
        <is>
          <t>High</t>
        </is>
      </c>
      <c r="X122" s="2" t="inlineStr">
        <is>
          <t>Backend Development</t>
        </is>
      </c>
      <c r="Y122" s="2" t="inlineStr">
        <is>
          <t>CIN-T-020</t>
        </is>
      </c>
      <c r="Z122" s="2" t="inlineStr">
        <is>
          <t>Hoàn tất kết quả gốc: Scheduled / Ongoing / Finished / Cancelled.</t>
        </is>
      </c>
      <c r="AA122" s="2" t="inlineStr">
        <is>
          <t>Kết quả gốc được kiểm tra và có bằng chứng gắn với CIN-SUB-121; ngoại lệ được ghi rõ.</t>
        </is>
      </c>
      <c r="AB122" s="2" t="inlineStr">
        <is>
          <t>Planned</t>
        </is>
      </c>
      <c r="AC122" s="2" t="inlineStr">
        <is>
          <t>Planned only; no completion evidence was transferred. Confirm that limited foundation coding is allowed before PA3 design baseline.</t>
        </is>
      </c>
    </row>
    <row r="123">
      <c r="A123" s="2" t="inlineStr">
        <is>
          <t>ORIG-122</t>
        </is>
      </c>
      <c r="B123" s="2" t="n">
        <v>123</v>
      </c>
      <c r="C123" s="2" t="inlineStr">
        <is>
          <t>Business Logic – Showtime</t>
        </is>
      </c>
      <c r="D123" s="2" t="n"/>
      <c r="E123" s="2" t="inlineStr">
        <is>
          <t>Quản lý lịch chiếu</t>
        </is>
      </c>
      <c r="F123" s="2" t="inlineStr">
        <is>
          <t>Hiển thị theo phim / ngày / phòng</t>
        </is>
      </c>
      <c r="G123" s="2" t="inlineStr">
        <is>
          <t>Bắt buộc</t>
        </is>
      </c>
      <c r="H123" s="2" t="inlineStr">
        <is>
          <t>Sprint 3</t>
        </is>
      </c>
      <c r="I123" s="2" t="inlineStr">
        <is>
          <t>Tạo và kiểm tra lịch chiếu.</t>
        </is>
      </c>
      <c r="J123" s="2" t="inlineStr">
        <is>
          <t>PH-03</t>
        </is>
      </c>
      <c r="K123" s="2" t="inlineStr">
        <is>
          <t>Core Product Build</t>
        </is>
      </c>
      <c r="L123" s="2" t="inlineStr">
        <is>
          <t>CIN-T-021</t>
        </is>
      </c>
      <c r="M123" s="2" t="inlineStr">
        <is>
          <t>Xây nghiệp vụ suất chiếu và kiểm tra lịch</t>
        </is>
      </c>
      <c r="N123" s="2" t="inlineStr">
        <is>
          <t>24120098</t>
        </is>
      </c>
      <c r="O123" s="2" t="inlineStr">
        <is>
          <t>Nguyen Quoc Nam</t>
        </is>
      </c>
      <c r="P123" s="2" t="inlineStr">
        <is>
          <t>CIN-SUB-122</t>
        </is>
      </c>
      <c r="Q123" s="2" t="inlineStr">
        <is>
          <t>Sprint 3</t>
        </is>
      </c>
      <c r="R123" s="2" t="inlineStr">
        <is>
          <t>24120098</t>
        </is>
      </c>
      <c r="S123" s="2" t="inlineStr">
        <is>
          <t>Nguyen Quoc Nam</t>
        </is>
      </c>
      <c r="T123" s="3" t="n">
        <v>46326</v>
      </c>
      <c r="U123" s="3" t="n">
        <v>46339</v>
      </c>
      <c r="V123" s="2" t="n">
        <v>2</v>
      </c>
      <c r="W123" s="2" t="inlineStr">
        <is>
          <t>High</t>
        </is>
      </c>
      <c r="X123" s="2" t="inlineStr">
        <is>
          <t>Backend Development</t>
        </is>
      </c>
      <c r="Y123" s="2" t="inlineStr">
        <is>
          <t>CIN-T-020</t>
        </is>
      </c>
      <c r="Z123" s="2" t="inlineStr">
        <is>
          <t>Hoàn tất kết quả gốc: Hiển thị theo phim / ngày / phòng.</t>
        </is>
      </c>
      <c r="AA123" s="2" t="inlineStr">
        <is>
          <t>Kết quả gốc được kiểm tra và có bằng chứng gắn với CIN-SUB-122; ngoại lệ được ghi rõ.</t>
        </is>
      </c>
      <c r="AB123" s="2" t="inlineStr">
        <is>
          <t>Planned</t>
        </is>
      </c>
      <c r="AC123" s="2" t="inlineStr">
        <is>
          <t>Planned only; no completion evidence was transferred. Confirm that limited foundation coding is allowed before PA3 design baseline.</t>
        </is>
      </c>
    </row>
    <row r="124">
      <c r="A124" s="2" t="inlineStr">
        <is>
          <t>ORIG-123</t>
        </is>
      </c>
      <c r="B124" s="2" t="n">
        <v>124</v>
      </c>
      <c r="C124" s="2" t="inlineStr">
        <is>
          <t>Business Logic – Booking</t>
        </is>
      </c>
      <c r="D124" s="2" t="inlineStr">
        <is>
          <t>Logic chọn/giữ/đặt ghế</t>
        </is>
      </c>
      <c r="E124" s="2" t="inlineStr">
        <is>
          <t>Chọn ghế</t>
        </is>
      </c>
      <c r="F124" s="2" t="inlineStr">
        <is>
          <t>Hiển thị ghế theo Showtime</t>
        </is>
      </c>
      <c r="G124" s="2" t="inlineStr">
        <is>
          <t>Bắt buộc</t>
        </is>
      </c>
      <c r="H124" s="2" t="inlineStr">
        <is>
          <t>Sprint 4</t>
        </is>
      </c>
      <c r="I124" s="2" t="inlineStr">
        <is>
          <t>Luồng đặt vé, giữ ghế và tính nhất quán dữ liệu.</t>
        </is>
      </c>
      <c r="J124" s="2" t="inlineStr">
        <is>
          <t>PH-03</t>
        </is>
      </c>
      <c r="K124" s="2" t="inlineStr">
        <is>
          <t>Core Product Build</t>
        </is>
      </c>
      <c r="L124" s="2" t="inlineStr">
        <is>
          <t>CIN-T-022</t>
        </is>
      </c>
      <c r="M124" s="2" t="inlineStr">
        <is>
          <t>Triển khai chọn ghế, giữ chỗ và tạo booking an toàn</t>
        </is>
      </c>
      <c r="N124" s="2" t="inlineStr">
        <is>
          <t>24120098</t>
        </is>
      </c>
      <c r="O124" s="2" t="inlineStr">
        <is>
          <t>Nguyen Quoc Nam</t>
        </is>
      </c>
      <c r="P124" s="2" t="inlineStr">
        <is>
          <t>CIN-SUB-123</t>
        </is>
      </c>
      <c r="Q124" s="2" t="inlineStr">
        <is>
          <t>Sprint 4</t>
        </is>
      </c>
      <c r="R124" s="2" t="inlineStr">
        <is>
          <t>24120098</t>
        </is>
      </c>
      <c r="S124" s="2" t="inlineStr">
        <is>
          <t>Nguyen Quoc Nam</t>
        </is>
      </c>
      <c r="T124" s="3" t="n">
        <v>46340</v>
      </c>
      <c r="U124" s="3" t="n">
        <v>46353</v>
      </c>
      <c r="V124" s="2" t="n">
        <v>2</v>
      </c>
      <c r="W124" s="2" t="inlineStr">
        <is>
          <t>High</t>
        </is>
      </c>
      <c r="X124" s="2" t="inlineStr">
        <is>
          <t>Backend Development</t>
        </is>
      </c>
      <c r="Y124" s="2" t="inlineStr">
        <is>
          <t>CIN-T-021, CIN-T-019, CIN-T-014</t>
        </is>
      </c>
      <c r="Z124" s="2" t="inlineStr">
        <is>
          <t>Hoàn tất kết quả gốc: Hiển thị ghế theo Showtime.</t>
        </is>
      </c>
      <c r="AA124" s="2" t="inlineStr">
        <is>
          <t>Kết quả gốc được kiểm tra và có bằng chứng gắn với CIN-SUB-123; ngoại lệ được ghi rõ.</t>
        </is>
      </c>
      <c r="AB124" s="2" t="inlineStr">
        <is>
          <t>Planned</t>
        </is>
      </c>
      <c r="AC124" s="2" t="inlineStr">
        <is>
          <t>Planned only; no completion evidence was transferred.</t>
        </is>
      </c>
    </row>
    <row r="125">
      <c r="A125" s="2" t="inlineStr">
        <is>
          <t>ORIG-124</t>
        </is>
      </c>
      <c r="B125" s="2" t="n">
        <v>125</v>
      </c>
      <c r="C125" s="2" t="inlineStr">
        <is>
          <t>Business Logic – Booking</t>
        </is>
      </c>
      <c r="D125" s="2" t="n"/>
      <c r="E125" s="2" t="inlineStr">
        <is>
          <t>Seat Availability</t>
        </is>
      </c>
      <c r="F125" s="2" t="inlineStr">
        <is>
          <t>Available / Held / Sold / Unavailable</t>
        </is>
      </c>
      <c r="G125" s="2" t="inlineStr">
        <is>
          <t>Bắt buộc</t>
        </is>
      </c>
      <c r="H125" s="2" t="inlineStr">
        <is>
          <t>Sprint 4</t>
        </is>
      </c>
      <c r="I125" s="2" t="inlineStr">
        <is>
          <t>Luồng đặt vé, giữ ghế và tính nhất quán dữ liệu.</t>
        </is>
      </c>
      <c r="J125" s="2" t="inlineStr">
        <is>
          <t>PH-03</t>
        </is>
      </c>
      <c r="K125" s="2" t="inlineStr">
        <is>
          <t>Core Product Build</t>
        </is>
      </c>
      <c r="L125" s="2" t="inlineStr">
        <is>
          <t>CIN-T-022</t>
        </is>
      </c>
      <c r="M125" s="2" t="inlineStr">
        <is>
          <t>Triển khai chọn ghế, giữ chỗ và tạo booking an toàn</t>
        </is>
      </c>
      <c r="N125" s="2" t="inlineStr">
        <is>
          <t>24120098</t>
        </is>
      </c>
      <c r="O125" s="2" t="inlineStr">
        <is>
          <t>Nguyen Quoc Nam</t>
        </is>
      </c>
      <c r="P125" s="2" t="inlineStr">
        <is>
          <t>CIN-SUB-124</t>
        </is>
      </c>
      <c r="Q125" s="2" t="inlineStr">
        <is>
          <t>Sprint 4</t>
        </is>
      </c>
      <c r="R125" s="2" t="inlineStr">
        <is>
          <t>24120098</t>
        </is>
      </c>
      <c r="S125" s="2" t="inlineStr">
        <is>
          <t>Nguyen Quoc Nam</t>
        </is>
      </c>
      <c r="T125" s="3" t="n">
        <v>46340</v>
      </c>
      <c r="U125" s="3" t="n">
        <v>46353</v>
      </c>
      <c r="V125" s="2" t="n">
        <v>2</v>
      </c>
      <c r="W125" s="2" t="inlineStr">
        <is>
          <t>High</t>
        </is>
      </c>
      <c r="X125" s="2" t="inlineStr">
        <is>
          <t>Backend Development</t>
        </is>
      </c>
      <c r="Y125" s="2" t="inlineStr">
        <is>
          <t>CIN-T-021, CIN-T-019, CIN-T-014</t>
        </is>
      </c>
      <c r="Z125" s="2" t="inlineStr">
        <is>
          <t>Hoàn tất kết quả gốc: Available / Held / Sold / Unavailable.</t>
        </is>
      </c>
      <c r="AA125" s="2" t="inlineStr">
        <is>
          <t>Kết quả gốc được kiểm tra và có bằng chứng gắn với CIN-SUB-124; ngoại lệ được ghi rõ.</t>
        </is>
      </c>
      <c r="AB125" s="2" t="inlineStr">
        <is>
          <t>Planned</t>
        </is>
      </c>
      <c r="AC125" s="2" t="inlineStr">
        <is>
          <t>Planned only; no completion evidence was transferred. Conditional/optional; confirm rubric, infrastructure and remaining capacity.</t>
        </is>
      </c>
    </row>
    <row r="126">
      <c r="A126" s="2" t="inlineStr">
        <is>
          <t>ORIG-125</t>
        </is>
      </c>
      <c r="B126" s="2" t="n">
        <v>126</v>
      </c>
      <c r="C126" s="2" t="inlineStr">
        <is>
          <t>Business Logic – Booking</t>
        </is>
      </c>
      <c r="D126" s="2" t="n"/>
      <c r="E126" s="2" t="inlineStr">
        <is>
          <t>Giữ ghế</t>
        </is>
      </c>
      <c r="F126" s="2" t="inlineStr">
        <is>
          <t>Tạm giữ ghế trong thời gian thanh toán</t>
        </is>
      </c>
      <c r="G126" s="2" t="inlineStr">
        <is>
          <t>Bắt buộc</t>
        </is>
      </c>
      <c r="H126" s="2" t="inlineStr">
        <is>
          <t>Sprint 4</t>
        </is>
      </c>
      <c r="I126" s="2" t="inlineStr">
        <is>
          <t>Luồng đặt vé, giữ ghế và tính nhất quán dữ liệu.</t>
        </is>
      </c>
      <c r="J126" s="2" t="inlineStr">
        <is>
          <t>PH-03</t>
        </is>
      </c>
      <c r="K126" s="2" t="inlineStr">
        <is>
          <t>Core Product Build</t>
        </is>
      </c>
      <c r="L126" s="2" t="inlineStr">
        <is>
          <t>CIN-T-022</t>
        </is>
      </c>
      <c r="M126" s="2" t="inlineStr">
        <is>
          <t>Triển khai chọn ghế, giữ chỗ và tạo booking an toàn</t>
        </is>
      </c>
      <c r="N126" s="2" t="inlineStr">
        <is>
          <t>24120098</t>
        </is>
      </c>
      <c r="O126" s="2" t="inlineStr">
        <is>
          <t>Nguyen Quoc Nam</t>
        </is>
      </c>
      <c r="P126" s="2" t="inlineStr">
        <is>
          <t>CIN-SUB-125</t>
        </is>
      </c>
      <c r="Q126" s="2" t="inlineStr">
        <is>
          <t>Sprint 4</t>
        </is>
      </c>
      <c r="R126" s="2" t="inlineStr">
        <is>
          <t>24120271</t>
        </is>
      </c>
      <c r="S126" s="2" t="inlineStr">
        <is>
          <t>Nguyen Trung Chinh</t>
        </is>
      </c>
      <c r="T126" s="3" t="n">
        <v>46340</v>
      </c>
      <c r="U126" s="3" t="n">
        <v>46353</v>
      </c>
      <c r="V126" s="2" t="n">
        <v>2</v>
      </c>
      <c r="W126" s="2" t="inlineStr">
        <is>
          <t>High</t>
        </is>
      </c>
      <c r="X126" s="2" t="inlineStr">
        <is>
          <t>Backend Development</t>
        </is>
      </c>
      <c r="Y126" s="2" t="inlineStr">
        <is>
          <t>CIN-T-021, CIN-T-019, CIN-T-014</t>
        </is>
      </c>
      <c r="Z126" s="2" t="inlineStr">
        <is>
          <t>Hoàn tất kết quả gốc: Tạm giữ ghế trong thời gian thanh toán.</t>
        </is>
      </c>
      <c r="AA126" s="2" t="inlineStr">
        <is>
          <t>Kết quả gốc được kiểm tra và có bằng chứng gắn với CIN-SUB-125; ngoại lệ được ghi rõ.</t>
        </is>
      </c>
      <c r="AB126" s="2" t="inlineStr">
        <is>
          <t>Planned</t>
        </is>
      </c>
      <c r="AC126" s="2" t="inlineStr">
        <is>
          <t>Planned only; no completion evidence was transferred.</t>
        </is>
      </c>
    </row>
    <row r="127">
      <c r="A127" s="2" t="inlineStr">
        <is>
          <t>ORIG-126</t>
        </is>
      </c>
      <c r="B127" s="2" t="n">
        <v>127</v>
      </c>
      <c r="C127" s="2" t="inlineStr">
        <is>
          <t>Business Logic – Booking</t>
        </is>
      </c>
      <c r="D127" s="2" t="n"/>
      <c r="E127" s="2" t="inlineStr">
        <is>
          <t>Tự động giải phóng ghế</t>
        </is>
      </c>
      <c r="F127" s="2" t="inlineStr">
        <is>
          <t>Hết thời gian giữ mà chưa thanh toán</t>
        </is>
      </c>
      <c r="G127" s="2" t="inlineStr">
        <is>
          <t>Bắt buộc</t>
        </is>
      </c>
      <c r="H127" s="2" t="inlineStr">
        <is>
          <t>Sprint 4</t>
        </is>
      </c>
      <c r="I127" s="2" t="inlineStr">
        <is>
          <t>Luồng đặt vé, giữ ghế và tính nhất quán dữ liệu.</t>
        </is>
      </c>
      <c r="J127" s="2" t="inlineStr">
        <is>
          <t>PH-03</t>
        </is>
      </c>
      <c r="K127" s="2" t="inlineStr">
        <is>
          <t>Core Product Build</t>
        </is>
      </c>
      <c r="L127" s="2" t="inlineStr">
        <is>
          <t>CIN-T-022</t>
        </is>
      </c>
      <c r="M127" s="2" t="inlineStr">
        <is>
          <t>Triển khai chọn ghế, giữ chỗ và tạo booking an toàn</t>
        </is>
      </c>
      <c r="N127" s="2" t="inlineStr">
        <is>
          <t>24120098</t>
        </is>
      </c>
      <c r="O127" s="2" t="inlineStr">
        <is>
          <t>Nguyen Quoc Nam</t>
        </is>
      </c>
      <c r="P127" s="2" t="inlineStr">
        <is>
          <t>CIN-SUB-126</t>
        </is>
      </c>
      <c r="Q127" s="2" t="inlineStr">
        <is>
          <t>Sprint 4</t>
        </is>
      </c>
      <c r="R127" s="2" t="inlineStr">
        <is>
          <t>24120244</t>
        </is>
      </c>
      <c r="S127" s="2" t="inlineStr">
        <is>
          <t>Phan Van Viet</t>
        </is>
      </c>
      <c r="T127" s="3" t="n">
        <v>46340</v>
      </c>
      <c r="U127" s="3" t="n">
        <v>46353</v>
      </c>
      <c r="V127" s="2" t="n">
        <v>2</v>
      </c>
      <c r="W127" s="2" t="inlineStr">
        <is>
          <t>High</t>
        </is>
      </c>
      <c r="X127" s="2" t="inlineStr">
        <is>
          <t>Backend Development</t>
        </is>
      </c>
      <c r="Y127" s="2" t="inlineStr">
        <is>
          <t>CIN-T-021, CIN-T-019, CIN-T-014</t>
        </is>
      </c>
      <c r="Z127" s="2" t="inlineStr">
        <is>
          <t>Hoàn tất kết quả gốc: Hết thời gian giữ mà chưa thanh toán.</t>
        </is>
      </c>
      <c r="AA127" s="2" t="inlineStr">
        <is>
          <t>Kết quả gốc được kiểm tra và có bằng chứng gắn với CIN-SUB-126; ngoại lệ được ghi rõ.</t>
        </is>
      </c>
      <c r="AB127" s="2" t="inlineStr">
        <is>
          <t>Planned</t>
        </is>
      </c>
      <c r="AC127" s="2" t="inlineStr">
        <is>
          <t>Planned only; no completion evidence was transferred.</t>
        </is>
      </c>
    </row>
    <row r="128">
      <c r="A128" s="2" t="inlineStr">
        <is>
          <t>ORIG-127</t>
        </is>
      </c>
      <c r="B128" s="2" t="n">
        <v>128</v>
      </c>
      <c r="C128" s="2" t="inlineStr">
        <is>
          <t>Business Logic – Booking</t>
        </is>
      </c>
      <c r="D128" s="2" t="n"/>
      <c r="E128" s="2" t="inlineStr">
        <is>
          <t>Kiểm tra ghế khi Booking</t>
        </is>
      </c>
      <c r="F128" s="2" t="inlineStr">
        <is>
          <t>Không cho đặt ghế đã Sold / Held</t>
        </is>
      </c>
      <c r="G128" s="2" t="inlineStr">
        <is>
          <t>Bắt buộc</t>
        </is>
      </c>
      <c r="H128" s="2" t="inlineStr">
        <is>
          <t>Sprint 4</t>
        </is>
      </c>
      <c r="I128" s="2" t="inlineStr">
        <is>
          <t>Luồng đặt vé, giữ ghế và tính nhất quán dữ liệu.</t>
        </is>
      </c>
      <c r="J128" s="2" t="inlineStr">
        <is>
          <t>PH-03</t>
        </is>
      </c>
      <c r="K128" s="2" t="inlineStr">
        <is>
          <t>Core Product Build</t>
        </is>
      </c>
      <c r="L128" s="2" t="inlineStr">
        <is>
          <t>CIN-T-022</t>
        </is>
      </c>
      <c r="M128" s="2" t="inlineStr">
        <is>
          <t>Triển khai chọn ghế, giữ chỗ và tạo booking an toàn</t>
        </is>
      </c>
      <c r="N128" s="2" t="inlineStr">
        <is>
          <t>24120098</t>
        </is>
      </c>
      <c r="O128" s="2" t="inlineStr">
        <is>
          <t>Nguyen Quoc Nam</t>
        </is>
      </c>
      <c r="P128" s="2" t="inlineStr">
        <is>
          <t>CIN-SUB-127</t>
        </is>
      </c>
      <c r="Q128" s="2" t="inlineStr">
        <is>
          <t>Sprint 4</t>
        </is>
      </c>
      <c r="R128" s="2" t="inlineStr">
        <is>
          <t>24120255</t>
        </is>
      </c>
      <c r="S128" s="2" t="inlineStr">
        <is>
          <t>Tran Thien An</t>
        </is>
      </c>
      <c r="T128" s="3" t="n">
        <v>46340</v>
      </c>
      <c r="U128" s="3" t="n">
        <v>46353</v>
      </c>
      <c r="V128" s="2" t="n">
        <v>3</v>
      </c>
      <c r="W128" s="2" t="inlineStr">
        <is>
          <t>High</t>
        </is>
      </c>
      <c r="X128" s="2" t="inlineStr">
        <is>
          <t>Backend Development</t>
        </is>
      </c>
      <c r="Y128" s="2" t="inlineStr">
        <is>
          <t>CIN-T-021, CIN-T-019, CIN-T-014</t>
        </is>
      </c>
      <c r="Z128" s="2" t="inlineStr">
        <is>
          <t>Hoàn tất kết quả gốc: Không cho đặt ghế đã Sold / Held.</t>
        </is>
      </c>
      <c r="AA128" s="2" t="inlineStr">
        <is>
          <t>Kết quả gốc được kiểm tra và có bằng chứng gắn với CIN-SUB-127; ngoại lệ được ghi rõ.</t>
        </is>
      </c>
      <c r="AB128" s="2" t="inlineStr">
        <is>
          <t>Planned</t>
        </is>
      </c>
      <c r="AC128" s="2" t="inlineStr">
        <is>
          <t>Planned only; no completion evidence was transferred.</t>
        </is>
      </c>
    </row>
    <row r="129">
      <c r="A129" s="2" t="inlineStr">
        <is>
          <t>ORIG-128</t>
        </is>
      </c>
      <c r="B129" s="2" t="n">
        <v>129</v>
      </c>
      <c r="C129" s="2" t="inlineStr">
        <is>
          <t>Business Logic – Booking</t>
        </is>
      </c>
      <c r="D129" s="2" t="n"/>
      <c r="E129" s="2" t="inlineStr">
        <is>
          <t>Tính tiền vé</t>
        </is>
      </c>
      <c r="F129" s="2" t="inlineStr">
        <is>
          <t>Giá vé × số lượng + các quy tắc liên quan</t>
        </is>
      </c>
      <c r="G129" s="2" t="inlineStr">
        <is>
          <t>Bắt buộc</t>
        </is>
      </c>
      <c r="H129" s="2" t="inlineStr">
        <is>
          <t>Sprint 4</t>
        </is>
      </c>
      <c r="I129" s="2" t="inlineStr">
        <is>
          <t>Luồng đặt vé, giữ ghế và tính nhất quán dữ liệu.</t>
        </is>
      </c>
      <c r="J129" s="2" t="inlineStr">
        <is>
          <t>PH-03</t>
        </is>
      </c>
      <c r="K129" s="2" t="inlineStr">
        <is>
          <t>Core Product Build</t>
        </is>
      </c>
      <c r="L129" s="2" t="inlineStr">
        <is>
          <t>CIN-T-022</t>
        </is>
      </c>
      <c r="M129" s="2" t="inlineStr">
        <is>
          <t>Triển khai chọn ghế, giữ chỗ và tạo booking an toàn</t>
        </is>
      </c>
      <c r="N129" s="2" t="inlineStr">
        <is>
          <t>24120098</t>
        </is>
      </c>
      <c r="O129" s="2" t="inlineStr">
        <is>
          <t>Nguyen Quoc Nam</t>
        </is>
      </c>
      <c r="P129" s="2" t="inlineStr">
        <is>
          <t>CIN-SUB-128</t>
        </is>
      </c>
      <c r="Q129" s="2" t="inlineStr">
        <is>
          <t>Sprint 4</t>
        </is>
      </c>
      <c r="R129" s="2" t="inlineStr">
        <is>
          <t>24120235</t>
        </is>
      </c>
      <c r="S129" s="2" t="inlineStr">
        <is>
          <t>Huynh Thanh Tu</t>
        </is>
      </c>
      <c r="T129" s="3" t="n">
        <v>46340</v>
      </c>
      <c r="U129" s="3" t="n">
        <v>46353</v>
      </c>
      <c r="V129" s="2" t="n">
        <v>2</v>
      </c>
      <c r="W129" s="2" t="inlineStr">
        <is>
          <t>High</t>
        </is>
      </c>
      <c r="X129" s="2" t="inlineStr">
        <is>
          <t>Backend Development</t>
        </is>
      </c>
      <c r="Y129" s="2" t="inlineStr">
        <is>
          <t>CIN-T-021, CIN-T-019, CIN-T-014</t>
        </is>
      </c>
      <c r="Z129" s="2" t="inlineStr">
        <is>
          <t>Hoàn tất kết quả gốc: Giá vé × số lượng + các quy tắc liên quan.</t>
        </is>
      </c>
      <c r="AA129" s="2" t="inlineStr">
        <is>
          <t>Kết quả gốc được kiểm tra và có bằng chứng gắn với CIN-SUB-128; ngoại lệ được ghi rõ.</t>
        </is>
      </c>
      <c r="AB129" s="2" t="inlineStr">
        <is>
          <t>Planned</t>
        </is>
      </c>
      <c r="AC129" s="2" t="inlineStr">
        <is>
          <t>Planned only; no completion evidence was transferred.</t>
        </is>
      </c>
    </row>
    <row r="130">
      <c r="A130" s="2" t="inlineStr">
        <is>
          <t>ORIG-129</t>
        </is>
      </c>
      <c r="B130" s="2" t="n">
        <v>130</v>
      </c>
      <c r="C130" s="2" t="inlineStr">
        <is>
          <t>Business Logic – Booking</t>
        </is>
      </c>
      <c r="D130" s="2" t="n"/>
      <c r="E130" s="2" t="inlineStr">
        <is>
          <t>Tạo Booking</t>
        </is>
      </c>
      <c r="F130" s="2" t="inlineStr">
        <is>
          <t>Tạo đơn đặt vé</t>
        </is>
      </c>
      <c r="G130" s="2" t="inlineStr">
        <is>
          <t>Bắt buộc</t>
        </is>
      </c>
      <c r="H130" s="2" t="inlineStr">
        <is>
          <t>Sprint 4</t>
        </is>
      </c>
      <c r="I130" s="2" t="inlineStr">
        <is>
          <t>Luồng đặt vé, giữ ghế và tính nhất quán dữ liệu.</t>
        </is>
      </c>
      <c r="J130" s="2" t="inlineStr">
        <is>
          <t>PH-03</t>
        </is>
      </c>
      <c r="K130" s="2" t="inlineStr">
        <is>
          <t>Core Product Build</t>
        </is>
      </c>
      <c r="L130" s="2" t="inlineStr">
        <is>
          <t>CIN-T-022</t>
        </is>
      </c>
      <c r="M130" s="2" t="inlineStr">
        <is>
          <t>Triển khai chọn ghế, giữ chỗ và tạo booking an toàn</t>
        </is>
      </c>
      <c r="N130" s="2" t="inlineStr">
        <is>
          <t>24120098</t>
        </is>
      </c>
      <c r="O130" s="2" t="inlineStr">
        <is>
          <t>Nguyen Quoc Nam</t>
        </is>
      </c>
      <c r="P130" s="2" t="inlineStr">
        <is>
          <t>CIN-SUB-129</t>
        </is>
      </c>
      <c r="Q130" s="2" t="inlineStr">
        <is>
          <t>Sprint 4</t>
        </is>
      </c>
      <c r="R130" s="2" t="inlineStr">
        <is>
          <t>24120098</t>
        </is>
      </c>
      <c r="S130" s="2" t="inlineStr">
        <is>
          <t>Nguyen Quoc Nam</t>
        </is>
      </c>
      <c r="T130" s="3" t="n">
        <v>46340</v>
      </c>
      <c r="U130" s="3" t="n">
        <v>46353</v>
      </c>
      <c r="V130" s="2" t="n">
        <v>3</v>
      </c>
      <c r="W130" s="2" t="inlineStr">
        <is>
          <t>High</t>
        </is>
      </c>
      <c r="X130" s="2" t="inlineStr">
        <is>
          <t>Backend Development</t>
        </is>
      </c>
      <c r="Y130" s="2" t="inlineStr">
        <is>
          <t>CIN-T-021, CIN-T-019, CIN-T-014</t>
        </is>
      </c>
      <c r="Z130" s="2" t="inlineStr">
        <is>
          <t>Hoàn tất kết quả gốc: Tạo đơn đặt vé.</t>
        </is>
      </c>
      <c r="AA130" s="2" t="inlineStr">
        <is>
          <t>Kết quả gốc được kiểm tra và có bằng chứng gắn với CIN-SUB-129; ngoại lệ được ghi rõ.</t>
        </is>
      </c>
      <c r="AB130" s="2" t="inlineStr">
        <is>
          <t>Planned</t>
        </is>
      </c>
      <c r="AC130" s="2" t="inlineStr">
        <is>
          <t>Planned only; no completion evidence was transferred.</t>
        </is>
      </c>
    </row>
    <row r="131">
      <c r="A131" s="2" t="inlineStr">
        <is>
          <t>ORIG-130</t>
        </is>
      </c>
      <c r="B131" s="2" t="n">
        <v>131</v>
      </c>
      <c r="C131" s="2" t="inlineStr">
        <is>
          <t>Business Logic – Booking</t>
        </is>
      </c>
      <c r="D131" s="2" t="n"/>
      <c r="E131" s="2" t="inlineStr">
        <is>
          <t>Booking Detail</t>
        </is>
      </c>
      <c r="F131" s="2" t="inlineStr">
        <is>
          <t>Lưu từng ghế / loại vé / giá</t>
        </is>
      </c>
      <c r="G131" s="2" t="inlineStr">
        <is>
          <t>Bắt buộc</t>
        </is>
      </c>
      <c r="H131" s="2" t="inlineStr">
        <is>
          <t>Sprint 4</t>
        </is>
      </c>
      <c r="I131" s="2" t="inlineStr">
        <is>
          <t>Luồng đặt vé, giữ ghế và tính nhất quán dữ liệu.</t>
        </is>
      </c>
      <c r="J131" s="2" t="inlineStr">
        <is>
          <t>PH-03</t>
        </is>
      </c>
      <c r="K131" s="2" t="inlineStr">
        <is>
          <t>Core Product Build</t>
        </is>
      </c>
      <c r="L131" s="2" t="inlineStr">
        <is>
          <t>CIN-T-022</t>
        </is>
      </c>
      <c r="M131" s="2" t="inlineStr">
        <is>
          <t>Triển khai chọn ghế, giữ chỗ và tạo booking an toàn</t>
        </is>
      </c>
      <c r="N131" s="2" t="inlineStr">
        <is>
          <t>24120098</t>
        </is>
      </c>
      <c r="O131" s="2" t="inlineStr">
        <is>
          <t>Nguyen Quoc Nam</t>
        </is>
      </c>
      <c r="P131" s="2" t="inlineStr">
        <is>
          <t>CIN-SUB-130</t>
        </is>
      </c>
      <c r="Q131" s="2" t="inlineStr">
        <is>
          <t>Sprint 4</t>
        </is>
      </c>
      <c r="R131" s="2" t="inlineStr">
        <is>
          <t>24120271</t>
        </is>
      </c>
      <c r="S131" s="2" t="inlineStr">
        <is>
          <t>Nguyen Trung Chinh</t>
        </is>
      </c>
      <c r="T131" s="3" t="n">
        <v>46340</v>
      </c>
      <c r="U131" s="3" t="n">
        <v>46353</v>
      </c>
      <c r="V131" s="2" t="n">
        <v>3</v>
      </c>
      <c r="W131" s="2" t="inlineStr">
        <is>
          <t>High</t>
        </is>
      </c>
      <c r="X131" s="2" t="inlineStr">
        <is>
          <t>Backend Development</t>
        </is>
      </c>
      <c r="Y131" s="2" t="inlineStr">
        <is>
          <t>CIN-T-021, CIN-T-019, CIN-T-014</t>
        </is>
      </c>
      <c r="Z131" s="2" t="inlineStr">
        <is>
          <t>Hoàn tất kết quả gốc: Lưu từng ghế / loại vé / giá.</t>
        </is>
      </c>
      <c r="AA131" s="2" t="inlineStr">
        <is>
          <t>Kết quả gốc được kiểm tra và có bằng chứng gắn với CIN-SUB-130; ngoại lệ được ghi rõ.</t>
        </is>
      </c>
      <c r="AB131" s="2" t="inlineStr">
        <is>
          <t>Planned</t>
        </is>
      </c>
      <c r="AC131" s="2" t="inlineStr">
        <is>
          <t>Planned only; no completion evidence was transferred. Conditional/optional; confirm rubric, infrastructure and remaining capacity.</t>
        </is>
      </c>
    </row>
    <row r="132">
      <c r="A132" s="2" t="inlineStr">
        <is>
          <t>ORIG-131</t>
        </is>
      </c>
      <c r="B132" s="2" t="n">
        <v>132</v>
      </c>
      <c r="C132" s="2" t="inlineStr">
        <is>
          <t>Business Logic – Booking</t>
        </is>
      </c>
      <c r="D132" s="2" t="n"/>
      <c r="E132" s="2" t="inlineStr">
        <is>
          <t>Transaction Booking</t>
        </is>
      </c>
      <c r="F132" s="2" t="inlineStr">
        <is>
          <t>Đảm bảo Booking + Seat + Ticket nhất quán</t>
        </is>
      </c>
      <c r="G132" s="2" t="inlineStr">
        <is>
          <t>Bắt buộc</t>
        </is>
      </c>
      <c r="H132" s="2" t="inlineStr">
        <is>
          <t>Sprint 4</t>
        </is>
      </c>
      <c r="I132" s="2" t="inlineStr">
        <is>
          <t>Luồng đặt vé, giữ ghế và tính nhất quán dữ liệu.</t>
        </is>
      </c>
      <c r="J132" s="2" t="inlineStr">
        <is>
          <t>PH-03</t>
        </is>
      </c>
      <c r="K132" s="2" t="inlineStr">
        <is>
          <t>Core Product Build</t>
        </is>
      </c>
      <c r="L132" s="2" t="inlineStr">
        <is>
          <t>CIN-T-022</t>
        </is>
      </c>
      <c r="M132" s="2" t="inlineStr">
        <is>
          <t>Triển khai chọn ghế, giữ chỗ và tạo booking an toàn</t>
        </is>
      </c>
      <c r="N132" s="2" t="inlineStr">
        <is>
          <t>24120098</t>
        </is>
      </c>
      <c r="O132" s="2" t="inlineStr">
        <is>
          <t>Nguyen Quoc Nam</t>
        </is>
      </c>
      <c r="P132" s="2" t="inlineStr">
        <is>
          <t>CIN-SUB-131</t>
        </is>
      </c>
      <c r="Q132" s="2" t="inlineStr">
        <is>
          <t>Sprint 4</t>
        </is>
      </c>
      <c r="R132" s="2" t="inlineStr">
        <is>
          <t>24120244</t>
        </is>
      </c>
      <c r="S132" s="2" t="inlineStr">
        <is>
          <t>Phan Van Viet</t>
        </is>
      </c>
      <c r="T132" s="3" t="n">
        <v>46340</v>
      </c>
      <c r="U132" s="3" t="n">
        <v>46353</v>
      </c>
      <c r="V132" s="2" t="n">
        <v>3</v>
      </c>
      <c r="W132" s="2" t="inlineStr">
        <is>
          <t>High</t>
        </is>
      </c>
      <c r="X132" s="2" t="inlineStr">
        <is>
          <t>Backend Development</t>
        </is>
      </c>
      <c r="Y132" s="2" t="inlineStr">
        <is>
          <t>CIN-T-021, CIN-T-019, CIN-T-014</t>
        </is>
      </c>
      <c r="Z132" s="2" t="inlineStr">
        <is>
          <t>Hoàn tất kết quả gốc: Đảm bảo Booking + Seat + Ticket nhất quán.</t>
        </is>
      </c>
      <c r="AA132" s="2" t="inlineStr">
        <is>
          <t>Kết quả gốc được kiểm tra và có bằng chứng gắn với CIN-SUB-131; ngoại lệ được ghi rõ.</t>
        </is>
      </c>
      <c r="AB132" s="2" t="inlineStr">
        <is>
          <t>Planned</t>
        </is>
      </c>
      <c r="AC132" s="2" t="inlineStr">
        <is>
          <t>Planned only; no completion evidence was transferred.</t>
        </is>
      </c>
    </row>
    <row r="133">
      <c r="A133" s="2" t="inlineStr">
        <is>
          <t>ORIG-132</t>
        </is>
      </c>
      <c r="B133" s="2" t="n">
        <v>133</v>
      </c>
      <c r="C133" s="2" t="inlineStr">
        <is>
          <t>Business Logic – Booking</t>
        </is>
      </c>
      <c r="D133" s="2" t="n"/>
      <c r="E133" s="2" t="inlineStr">
        <is>
          <t>Concurrency Control</t>
        </is>
      </c>
      <c r="F133" s="2" t="inlineStr">
        <is>
          <t>Xử lý nhiều người cùng đặt một ghế</t>
        </is>
      </c>
      <c r="G133" s="2" t="inlineStr">
        <is>
          <t>Bắt buộc</t>
        </is>
      </c>
      <c r="H133" s="2" t="inlineStr">
        <is>
          <t>Sprint 4</t>
        </is>
      </c>
      <c r="I133" s="2" t="inlineStr">
        <is>
          <t>Luồng đặt vé, giữ ghế và tính nhất quán dữ liệu.</t>
        </is>
      </c>
      <c r="J133" s="2" t="inlineStr">
        <is>
          <t>PH-03</t>
        </is>
      </c>
      <c r="K133" s="2" t="inlineStr">
        <is>
          <t>Core Product Build</t>
        </is>
      </c>
      <c r="L133" s="2" t="inlineStr">
        <is>
          <t>CIN-T-022</t>
        </is>
      </c>
      <c r="M133" s="2" t="inlineStr">
        <is>
          <t>Triển khai chọn ghế, giữ chỗ và tạo booking an toàn</t>
        </is>
      </c>
      <c r="N133" s="2" t="inlineStr">
        <is>
          <t>24120098</t>
        </is>
      </c>
      <c r="O133" s="2" t="inlineStr">
        <is>
          <t>Nguyen Quoc Nam</t>
        </is>
      </c>
      <c r="P133" s="2" t="inlineStr">
        <is>
          <t>CIN-SUB-132</t>
        </is>
      </c>
      <c r="Q133" s="2" t="inlineStr">
        <is>
          <t>Sprint 4</t>
        </is>
      </c>
      <c r="R133" s="2" t="inlineStr">
        <is>
          <t>24120235</t>
        </is>
      </c>
      <c r="S133" s="2" t="inlineStr">
        <is>
          <t>Huynh Thanh Tu</t>
        </is>
      </c>
      <c r="T133" s="3" t="n">
        <v>46340</v>
      </c>
      <c r="U133" s="3" t="n">
        <v>46353</v>
      </c>
      <c r="V133" s="2" t="n">
        <v>3</v>
      </c>
      <c r="W133" s="2" t="inlineStr">
        <is>
          <t>High</t>
        </is>
      </c>
      <c r="X133" s="2" t="inlineStr">
        <is>
          <t>Backend Development</t>
        </is>
      </c>
      <c r="Y133" s="2" t="inlineStr">
        <is>
          <t>CIN-T-021, CIN-T-019, CIN-T-014</t>
        </is>
      </c>
      <c r="Z133" s="2" t="inlineStr">
        <is>
          <t>Hoàn tất kết quả gốc: Xử lý nhiều người cùng đặt một ghế.</t>
        </is>
      </c>
      <c r="AA133" s="2" t="inlineStr">
        <is>
          <t>Kết quả gốc được kiểm tra và có bằng chứng gắn với CIN-SUB-132; ngoại lệ được ghi rõ.</t>
        </is>
      </c>
      <c r="AB133" s="2" t="inlineStr">
        <is>
          <t>Planned</t>
        </is>
      </c>
      <c r="AC133" s="2" t="inlineStr">
        <is>
          <t>Planned only; no completion evidence was transferred.</t>
        </is>
      </c>
    </row>
    <row r="134">
      <c r="A134" s="2" t="inlineStr">
        <is>
          <t>ORIG-133</t>
        </is>
      </c>
      <c r="B134" s="2" t="n">
        <v>134</v>
      </c>
      <c r="C134" s="2" t="inlineStr">
        <is>
          <t>Payment</t>
        </is>
      </c>
      <c r="D134" s="2" t="inlineStr">
        <is>
          <t>Payment flow</t>
        </is>
      </c>
      <c r="E134" s="2" t="inlineStr">
        <is>
          <t>Thiết kế Payment Flow</t>
        </is>
      </c>
      <c r="F134" s="2" t="inlineStr">
        <is>
          <t>Booking → Payment → Ticket</t>
        </is>
      </c>
      <c r="G134" s="2" t="inlineStr">
        <is>
          <t>Bắt buộc</t>
        </is>
      </c>
      <c r="H134" s="2" t="inlineStr">
        <is>
          <t>Sprint 4</t>
        </is>
      </c>
      <c r="I134" s="2" t="inlineStr">
        <is>
          <t>Cần một luồng thanh toán demo; gateway thật chỉ bắt buộc nếu rubric yêu cầu.</t>
        </is>
      </c>
      <c r="J134" s="2" t="inlineStr">
        <is>
          <t>PH-03</t>
        </is>
      </c>
      <c r="K134" s="2" t="inlineStr">
        <is>
          <t>Core Product Build</t>
        </is>
      </c>
      <c r="L134" s="2" t="inlineStr">
        <is>
          <t>CIN-T-023</t>
        </is>
      </c>
      <c r="M134" s="2" t="inlineStr">
        <is>
          <t>Triển khai thanh toán mô phỏng và trạng thái giao dịch</t>
        </is>
      </c>
      <c r="N134" s="2" t="inlineStr">
        <is>
          <t>24120255</t>
        </is>
      </c>
      <c r="O134" s="2" t="inlineStr">
        <is>
          <t>Tran Thien An</t>
        </is>
      </c>
      <c r="P134" s="2" t="inlineStr">
        <is>
          <t>CIN-SUB-133</t>
        </is>
      </c>
      <c r="Q134" s="2" t="inlineStr">
        <is>
          <t>Sprint 4</t>
        </is>
      </c>
      <c r="R134" s="2" t="inlineStr">
        <is>
          <t>24120255</t>
        </is>
      </c>
      <c r="S134" s="2" t="inlineStr">
        <is>
          <t>Tran Thien An</t>
        </is>
      </c>
      <c r="T134" s="3" t="n">
        <v>46340</v>
      </c>
      <c r="U134" s="3" t="n">
        <v>46353</v>
      </c>
      <c r="V134" s="2" t="n">
        <v>3</v>
      </c>
      <c r="W134" s="2" t="inlineStr">
        <is>
          <t>High</t>
        </is>
      </c>
      <c r="X134" s="2" t="inlineStr">
        <is>
          <t>Backend Development</t>
        </is>
      </c>
      <c r="Y134" s="2" t="inlineStr">
        <is>
          <t>CIN-T-022</t>
        </is>
      </c>
      <c r="Z134" s="2" t="inlineStr">
        <is>
          <t>Hoàn tất kết quả gốc: Booking → Payment → Ticket.</t>
        </is>
      </c>
      <c r="AA134" s="2" t="inlineStr">
        <is>
          <t>Kết quả gốc được kiểm tra và có bằng chứng gắn với CIN-SUB-133; ngoại lệ được ghi rõ.</t>
        </is>
      </c>
      <c r="AB134" s="2" t="inlineStr">
        <is>
          <t>Planned</t>
        </is>
      </c>
      <c r="AC134" s="2" t="inlineStr">
        <is>
          <t>Planned only; no completion evidence was transferred.</t>
        </is>
      </c>
    </row>
    <row r="135">
      <c r="A135" s="2" t="inlineStr">
        <is>
          <t>ORIG-134</t>
        </is>
      </c>
      <c r="B135" s="2" t="n">
        <v>135</v>
      </c>
      <c r="C135" s="2" t="inlineStr">
        <is>
          <t>Payment</t>
        </is>
      </c>
      <c r="D135" s="2" t="n"/>
      <c r="E135" s="2" t="inlineStr">
        <is>
          <t>Tích hợp Payment Gateway</t>
        </is>
      </c>
      <c r="F135" s="2" t="inlineStr">
        <is>
          <t>Tích hợp cổng thanh toán nếu yêu cầu</t>
        </is>
      </c>
      <c r="G135" s="2" t="inlineStr">
        <is>
          <t>Mở rộng</t>
        </is>
      </c>
      <c r="H135" s="2" t="inlineStr">
        <is>
          <t>Sprint 4</t>
        </is>
      </c>
      <c r="I135" s="2" t="inlineStr">
        <is>
          <t>Mô tả nguồn có điều kiện; xác nhận yêu cầu PA/rubric trước khi đưa vào baseline.</t>
        </is>
      </c>
      <c r="J135" s="2" t="inlineStr">
        <is>
          <t>PH-03</t>
        </is>
      </c>
      <c r="K135" s="2" t="inlineStr">
        <is>
          <t>Core Product Build</t>
        </is>
      </c>
      <c r="L135" s="2" t="inlineStr">
        <is>
          <t>CIN-T-023</t>
        </is>
      </c>
      <c r="M135" s="2" t="inlineStr">
        <is>
          <t>Triển khai thanh toán mô phỏng và trạng thái giao dịch</t>
        </is>
      </c>
      <c r="N135" s="2" t="inlineStr">
        <is>
          <t>24120255</t>
        </is>
      </c>
      <c r="O135" s="2" t="inlineStr">
        <is>
          <t>Tran Thien An</t>
        </is>
      </c>
      <c r="P135" s="2" t="inlineStr">
        <is>
          <t>CIN-SUB-134</t>
        </is>
      </c>
      <c r="Q135" s="2" t="inlineStr">
        <is>
          <t>Sprint 4</t>
        </is>
      </c>
      <c r="R135" s="2" t="inlineStr">
        <is>
          <t>24120098</t>
        </is>
      </c>
      <c r="S135" s="2" t="inlineStr">
        <is>
          <t>Nguyen Quoc Nam</t>
        </is>
      </c>
      <c r="T135" s="3" t="n">
        <v>46340</v>
      </c>
      <c r="U135" s="3" t="n">
        <v>46353</v>
      </c>
      <c r="V135" s="2" t="n">
        <v>2</v>
      </c>
      <c r="W135" s="2" t="inlineStr">
        <is>
          <t>High</t>
        </is>
      </c>
      <c r="X135" s="2" t="inlineStr">
        <is>
          <t>Backend Development</t>
        </is>
      </c>
      <c r="Y135" s="2" t="inlineStr">
        <is>
          <t>CIN-T-022</t>
        </is>
      </c>
      <c r="Z135" s="2" t="inlineStr">
        <is>
          <t>Hoàn tất kết quả gốc: Tích hợp cổng thanh toán nếu yêu cầu.</t>
        </is>
      </c>
      <c r="AA135" s="2" t="inlineStr">
        <is>
          <t>Kết quả gốc được kiểm tra và có bằng chứng gắn với CIN-SUB-134; ngoại lệ được ghi rõ.</t>
        </is>
      </c>
      <c r="AB135" s="2" t="inlineStr">
        <is>
          <t>Planned</t>
        </is>
      </c>
      <c r="AC135" s="2" t="inlineStr">
        <is>
          <t>Planned only; no completion evidence was transferred. Conditional/optional; confirm rubric, infrastructure and remaining capacity.</t>
        </is>
      </c>
    </row>
    <row r="136">
      <c r="A136" s="2" t="inlineStr">
        <is>
          <t>ORIG-135</t>
        </is>
      </c>
      <c r="B136" s="2" t="n">
        <v>136</v>
      </c>
      <c r="C136" s="2" t="inlineStr">
        <is>
          <t>Payment</t>
        </is>
      </c>
      <c r="D136" s="2" t="n"/>
      <c r="E136" s="2" t="inlineStr">
        <is>
          <t>Payment Callback / Webhook</t>
        </is>
      </c>
      <c r="F136" s="2" t="inlineStr">
        <is>
          <t>Nhận kết quả thanh toán</t>
        </is>
      </c>
      <c r="G136" s="2" t="inlineStr">
        <is>
          <t>Cần thiết để hỗ trợ chức năng chính</t>
        </is>
      </c>
      <c r="H136" s="2" t="inlineStr">
        <is>
          <t>Sprint 4</t>
        </is>
      </c>
      <c r="I136" s="2" t="inlineStr">
        <is>
          <t>Cần xử lý kết quả thanh toán để demo; tích hợp gateway thật chỉ bắt buộc nếu rubric yêu cầu.</t>
        </is>
      </c>
      <c r="J136" s="2" t="inlineStr">
        <is>
          <t>PH-03</t>
        </is>
      </c>
      <c r="K136" s="2" t="inlineStr">
        <is>
          <t>Core Product Build</t>
        </is>
      </c>
      <c r="L136" s="2" t="inlineStr">
        <is>
          <t>CIN-T-023</t>
        </is>
      </c>
      <c r="M136" s="2" t="inlineStr">
        <is>
          <t>Triển khai thanh toán mô phỏng và trạng thái giao dịch</t>
        </is>
      </c>
      <c r="N136" s="2" t="inlineStr">
        <is>
          <t>24120255</t>
        </is>
      </c>
      <c r="O136" s="2" t="inlineStr">
        <is>
          <t>Tran Thien An</t>
        </is>
      </c>
      <c r="P136" s="2" t="inlineStr">
        <is>
          <t>CIN-SUB-135</t>
        </is>
      </c>
      <c r="Q136" s="2" t="inlineStr">
        <is>
          <t>Sprint 4</t>
        </is>
      </c>
      <c r="R136" s="2" t="inlineStr">
        <is>
          <t>24120271</t>
        </is>
      </c>
      <c r="S136" s="2" t="inlineStr">
        <is>
          <t>Nguyen Trung Chinh</t>
        </is>
      </c>
      <c r="T136" s="3" t="n">
        <v>46340</v>
      </c>
      <c r="U136" s="3" t="n">
        <v>46353</v>
      </c>
      <c r="V136" s="2" t="n">
        <v>3</v>
      </c>
      <c r="W136" s="2" t="inlineStr">
        <is>
          <t>High</t>
        </is>
      </c>
      <c r="X136" s="2" t="inlineStr">
        <is>
          <t>Backend Development</t>
        </is>
      </c>
      <c r="Y136" s="2" t="inlineStr">
        <is>
          <t>CIN-T-022</t>
        </is>
      </c>
      <c r="Z136" s="2" t="inlineStr">
        <is>
          <t>Hoàn tất kết quả gốc: Nhận kết quả thanh toán.</t>
        </is>
      </c>
      <c r="AA136" s="2" t="inlineStr">
        <is>
          <t>Kết quả gốc được kiểm tra và có bằng chứng gắn với CIN-SUB-135; ngoại lệ được ghi rõ.</t>
        </is>
      </c>
      <c r="AB136" s="2" t="inlineStr">
        <is>
          <t>Planned</t>
        </is>
      </c>
      <c r="AC136" s="2" t="inlineStr">
        <is>
          <t>Planned only; no completion evidence was transferred.</t>
        </is>
      </c>
    </row>
    <row r="137">
      <c r="A137" s="2" t="inlineStr">
        <is>
          <t>ORIG-136</t>
        </is>
      </c>
      <c r="B137" s="2" t="n">
        <v>137</v>
      </c>
      <c r="C137" s="2" t="inlineStr">
        <is>
          <t>Payment</t>
        </is>
      </c>
      <c r="D137" s="2" t="n"/>
      <c r="E137" s="2" t="inlineStr">
        <is>
          <t>Xác thực giao dịch</t>
        </is>
      </c>
      <c r="F137" s="2" t="inlineStr">
        <is>
          <t>Kiểm tra tính hợp lệ của transaction</t>
        </is>
      </c>
      <c r="G137" s="2" t="inlineStr">
        <is>
          <t>Bắt buộc</t>
        </is>
      </c>
      <c r="H137" s="2" t="inlineStr">
        <is>
          <t>Sprint 4</t>
        </is>
      </c>
      <c r="I137" s="2" t="inlineStr">
        <is>
          <t>Cần một luồng thanh toán demo; gateway thật chỉ bắt buộc nếu rubric yêu cầu.</t>
        </is>
      </c>
      <c r="J137" s="2" t="inlineStr">
        <is>
          <t>PH-03</t>
        </is>
      </c>
      <c r="K137" s="2" t="inlineStr">
        <is>
          <t>Core Product Build</t>
        </is>
      </c>
      <c r="L137" s="2" t="inlineStr">
        <is>
          <t>CIN-T-023</t>
        </is>
      </c>
      <c r="M137" s="2" t="inlineStr">
        <is>
          <t>Triển khai thanh toán mô phỏng và trạng thái giao dịch</t>
        </is>
      </c>
      <c r="N137" s="2" t="inlineStr">
        <is>
          <t>24120255</t>
        </is>
      </c>
      <c r="O137" s="2" t="inlineStr">
        <is>
          <t>Tran Thien An</t>
        </is>
      </c>
      <c r="P137" s="2" t="inlineStr">
        <is>
          <t>CIN-SUB-136</t>
        </is>
      </c>
      <c r="Q137" s="2" t="inlineStr">
        <is>
          <t>Sprint 4</t>
        </is>
      </c>
      <c r="R137" s="2" t="inlineStr">
        <is>
          <t>24120244</t>
        </is>
      </c>
      <c r="S137" s="2" t="inlineStr">
        <is>
          <t>Phan Van Viet</t>
        </is>
      </c>
      <c r="T137" s="3" t="n">
        <v>46340</v>
      </c>
      <c r="U137" s="3" t="n">
        <v>46353</v>
      </c>
      <c r="V137" s="2" t="n">
        <v>3</v>
      </c>
      <c r="W137" s="2" t="inlineStr">
        <is>
          <t>High</t>
        </is>
      </c>
      <c r="X137" s="2" t="inlineStr">
        <is>
          <t>Backend Development</t>
        </is>
      </c>
      <c r="Y137" s="2" t="inlineStr">
        <is>
          <t>CIN-T-022</t>
        </is>
      </c>
      <c r="Z137" s="2" t="inlineStr">
        <is>
          <t>Hoàn tất kết quả gốc: Kiểm tra tính hợp lệ của transaction.</t>
        </is>
      </c>
      <c r="AA137" s="2" t="inlineStr">
        <is>
          <t>Kết quả gốc được kiểm tra và có bằng chứng gắn với CIN-SUB-136; ngoại lệ được ghi rõ.</t>
        </is>
      </c>
      <c r="AB137" s="2" t="inlineStr">
        <is>
          <t>Planned</t>
        </is>
      </c>
      <c r="AC137" s="2" t="inlineStr">
        <is>
          <t>Planned only; no completion evidence was transferred.</t>
        </is>
      </c>
    </row>
    <row r="138">
      <c r="A138" s="2" t="inlineStr">
        <is>
          <t>ORIG-137</t>
        </is>
      </c>
      <c r="B138" s="2" t="n">
        <v>138</v>
      </c>
      <c r="C138" s="2" t="inlineStr">
        <is>
          <t>Payment</t>
        </is>
      </c>
      <c r="D138" s="2" t="n"/>
      <c r="E138" s="2" t="inlineStr">
        <is>
          <t>Payment Status</t>
        </is>
      </c>
      <c r="F138" s="2" t="inlineStr">
        <is>
          <t>Pending / Success / Failed / Cancelled</t>
        </is>
      </c>
      <c r="G138" s="2" t="inlineStr">
        <is>
          <t>Bắt buộc</t>
        </is>
      </c>
      <c r="H138" s="2" t="inlineStr">
        <is>
          <t>Sprint 4</t>
        </is>
      </c>
      <c r="I138" s="2" t="inlineStr">
        <is>
          <t>Cần một luồng thanh toán demo; gateway thật chỉ bắt buộc nếu rubric yêu cầu.</t>
        </is>
      </c>
      <c r="J138" s="2" t="inlineStr">
        <is>
          <t>PH-03</t>
        </is>
      </c>
      <c r="K138" s="2" t="inlineStr">
        <is>
          <t>Core Product Build</t>
        </is>
      </c>
      <c r="L138" s="2" t="inlineStr">
        <is>
          <t>CIN-T-023</t>
        </is>
      </c>
      <c r="M138" s="2" t="inlineStr">
        <is>
          <t>Triển khai thanh toán mô phỏng và trạng thái giao dịch</t>
        </is>
      </c>
      <c r="N138" s="2" t="inlineStr">
        <is>
          <t>24120255</t>
        </is>
      </c>
      <c r="O138" s="2" t="inlineStr">
        <is>
          <t>Tran Thien An</t>
        </is>
      </c>
      <c r="P138" s="2" t="inlineStr">
        <is>
          <t>CIN-SUB-137</t>
        </is>
      </c>
      <c r="Q138" s="2" t="inlineStr">
        <is>
          <t>Sprint 4</t>
        </is>
      </c>
      <c r="R138" s="2" t="inlineStr">
        <is>
          <t>24120235</t>
        </is>
      </c>
      <c r="S138" s="2" t="inlineStr">
        <is>
          <t>Huynh Thanh Tu</t>
        </is>
      </c>
      <c r="T138" s="3" t="n">
        <v>46340</v>
      </c>
      <c r="U138" s="3" t="n">
        <v>46353</v>
      </c>
      <c r="V138" s="2" t="n">
        <v>3</v>
      </c>
      <c r="W138" s="2" t="inlineStr">
        <is>
          <t>High</t>
        </is>
      </c>
      <c r="X138" s="2" t="inlineStr">
        <is>
          <t>Backend Development</t>
        </is>
      </c>
      <c r="Y138" s="2" t="inlineStr">
        <is>
          <t>CIN-T-022</t>
        </is>
      </c>
      <c r="Z138" s="2" t="inlineStr">
        <is>
          <t>Hoàn tất kết quả gốc: Pending / Success / Failed / Cancelled.</t>
        </is>
      </c>
      <c r="AA138" s="2" t="inlineStr">
        <is>
          <t>Kết quả gốc được kiểm tra và có bằng chứng gắn với CIN-SUB-137; ngoại lệ được ghi rõ.</t>
        </is>
      </c>
      <c r="AB138" s="2" t="inlineStr">
        <is>
          <t>Planned</t>
        </is>
      </c>
      <c r="AC138" s="2" t="inlineStr">
        <is>
          <t>Planned only; no completion evidence was transferred.</t>
        </is>
      </c>
    </row>
    <row r="139">
      <c r="A139" s="2" t="inlineStr">
        <is>
          <t>ORIG-138</t>
        </is>
      </c>
      <c r="B139" s="2" t="n">
        <v>139</v>
      </c>
      <c r="C139" s="2" t="inlineStr">
        <is>
          <t>Payment</t>
        </is>
      </c>
      <c r="D139" s="2" t="n"/>
      <c r="E139" s="2" t="inlineStr">
        <is>
          <t>Payment Timeout</t>
        </is>
      </c>
      <c r="F139" s="2" t="inlineStr">
        <is>
          <t>Xử lý giao dịch hết thời gian</t>
        </is>
      </c>
      <c r="G139" s="2" t="inlineStr">
        <is>
          <t>Bắt buộc</t>
        </is>
      </c>
      <c r="H139" s="2" t="inlineStr">
        <is>
          <t>Sprint 4</t>
        </is>
      </c>
      <c r="I139" s="2" t="inlineStr">
        <is>
          <t>Cần một luồng thanh toán demo; gateway thật chỉ bắt buộc nếu rubric yêu cầu.</t>
        </is>
      </c>
      <c r="J139" s="2" t="inlineStr">
        <is>
          <t>PH-03</t>
        </is>
      </c>
      <c r="K139" s="2" t="inlineStr">
        <is>
          <t>Core Product Build</t>
        </is>
      </c>
      <c r="L139" s="2" t="inlineStr">
        <is>
          <t>CIN-T-023</t>
        </is>
      </c>
      <c r="M139" s="2" t="inlineStr">
        <is>
          <t>Triển khai thanh toán mô phỏng và trạng thái giao dịch</t>
        </is>
      </c>
      <c r="N139" s="2" t="inlineStr">
        <is>
          <t>24120255</t>
        </is>
      </c>
      <c r="O139" s="2" t="inlineStr">
        <is>
          <t>Tran Thien An</t>
        </is>
      </c>
      <c r="P139" s="2" t="inlineStr">
        <is>
          <t>CIN-SUB-138</t>
        </is>
      </c>
      <c r="Q139" s="2" t="inlineStr">
        <is>
          <t>Sprint 4</t>
        </is>
      </c>
      <c r="R139" s="2" t="inlineStr">
        <is>
          <t>24120255</t>
        </is>
      </c>
      <c r="S139" s="2" t="inlineStr">
        <is>
          <t>Tran Thien An</t>
        </is>
      </c>
      <c r="T139" s="3" t="n">
        <v>46340</v>
      </c>
      <c r="U139" s="3" t="n">
        <v>46353</v>
      </c>
      <c r="V139" s="2" t="n">
        <v>3</v>
      </c>
      <c r="W139" s="2" t="inlineStr">
        <is>
          <t>High</t>
        </is>
      </c>
      <c r="X139" s="2" t="inlineStr">
        <is>
          <t>Backend Development</t>
        </is>
      </c>
      <c r="Y139" s="2" t="inlineStr">
        <is>
          <t>CIN-T-022</t>
        </is>
      </c>
      <c r="Z139" s="2" t="inlineStr">
        <is>
          <t>Hoàn tất kết quả gốc: Xử lý giao dịch hết thời gian.</t>
        </is>
      </c>
      <c r="AA139" s="2" t="inlineStr">
        <is>
          <t>Kết quả gốc được kiểm tra và có bằng chứng gắn với CIN-SUB-138; ngoại lệ được ghi rõ.</t>
        </is>
      </c>
      <c r="AB139" s="2" t="inlineStr">
        <is>
          <t>Planned</t>
        </is>
      </c>
      <c r="AC139" s="2" t="inlineStr">
        <is>
          <t>Planned only; no completion evidence was transferred.</t>
        </is>
      </c>
    </row>
    <row r="140">
      <c r="A140" s="2" t="inlineStr">
        <is>
          <t>ORIG-139</t>
        </is>
      </c>
      <c r="B140" s="2" t="n">
        <v>140</v>
      </c>
      <c r="C140" s="2" t="inlineStr">
        <is>
          <t>Payment</t>
        </is>
      </c>
      <c r="D140" s="2" t="n"/>
      <c r="E140" s="2" t="inlineStr">
        <is>
          <t>Refund</t>
        </is>
      </c>
      <c r="F140" s="2" t="inlineStr">
        <is>
          <t>Xử lý hoàn tiền nếu hệ thống hỗ trợ</t>
        </is>
      </c>
      <c r="G140" s="2" t="inlineStr">
        <is>
          <t>Mở rộng</t>
        </is>
      </c>
      <c r="H140" s="2" t="inlineStr">
        <is>
          <t>Sprint 5</t>
        </is>
      </c>
      <c r="I140" s="2" t="inlineStr">
        <is>
          <t>Mô tả nguồn có điều kiện; xác nhận yêu cầu PA/rubric trước khi đưa vào baseline.</t>
        </is>
      </c>
      <c r="J140" s="2" t="inlineStr">
        <is>
          <t>PH-03</t>
        </is>
      </c>
      <c r="K140" s="2" t="inlineStr">
        <is>
          <t>Core Product Build</t>
        </is>
      </c>
      <c r="L140" s="2" t="inlineStr">
        <is>
          <t>CIN-T-023</t>
        </is>
      </c>
      <c r="M140" s="2" t="inlineStr">
        <is>
          <t>Triển khai thanh toán mô phỏng và trạng thái giao dịch</t>
        </is>
      </c>
      <c r="N140" s="2" t="inlineStr">
        <is>
          <t>24120255</t>
        </is>
      </c>
      <c r="O140" s="2" t="inlineStr">
        <is>
          <t>Tran Thien An</t>
        </is>
      </c>
      <c r="P140" s="2" t="inlineStr">
        <is>
          <t>CIN-SUB-139</t>
        </is>
      </c>
      <c r="Q140" s="2" t="inlineStr">
        <is>
          <t>Sprint 4</t>
        </is>
      </c>
      <c r="R140" s="2" t="inlineStr">
        <is>
          <t>24120098</t>
        </is>
      </c>
      <c r="S140" s="2" t="inlineStr">
        <is>
          <t>Nguyen Quoc Nam</t>
        </is>
      </c>
      <c r="T140" s="3" t="n">
        <v>46340</v>
      </c>
      <c r="U140" s="3" t="n">
        <v>46353</v>
      </c>
      <c r="V140" s="2" t="n">
        <v>2</v>
      </c>
      <c r="W140" s="2" t="inlineStr">
        <is>
          <t>High</t>
        </is>
      </c>
      <c r="X140" s="2" t="inlineStr">
        <is>
          <t>Backend Development</t>
        </is>
      </c>
      <c r="Y140" s="2" t="inlineStr">
        <is>
          <t>CIN-T-022</t>
        </is>
      </c>
      <c r="Z140" s="2" t="inlineStr">
        <is>
          <t>Hoàn tất kết quả gốc: Xử lý hoàn tiền nếu hệ thống hỗ trợ.</t>
        </is>
      </c>
      <c r="AA140" s="2" t="inlineStr">
        <is>
          <t>Kết quả gốc được kiểm tra và có bằng chứng gắn với CIN-SUB-139; ngoại lệ được ghi rõ.</t>
        </is>
      </c>
      <c r="AB140" s="2" t="inlineStr">
        <is>
          <t>Planned</t>
        </is>
      </c>
      <c r="AC140" s="2" t="inlineStr">
        <is>
          <t>Planned only; no completion evidence was transferred. Conditional/optional; confirm rubric, infrastructure and remaining capacity.</t>
        </is>
      </c>
    </row>
    <row r="141">
      <c r="A141" s="2" t="inlineStr">
        <is>
          <t>ORIG-140</t>
        </is>
      </c>
      <c r="B141" s="2" t="n">
        <v>141</v>
      </c>
      <c r="C141" s="2" t="inlineStr">
        <is>
          <t>Ticket</t>
        </is>
      </c>
      <c r="D141" s="2" t="inlineStr">
        <is>
          <t>Phát hành và xác thực vé</t>
        </is>
      </c>
      <c r="E141" s="2" t="inlineStr">
        <is>
          <t>Phát hành Ticket</t>
        </is>
      </c>
      <c r="F141" s="2" t="inlineStr">
        <is>
          <t>Tạo vé sau khi thanh toán thành công</t>
        </is>
      </c>
      <c r="G141" s="2" t="inlineStr">
        <is>
          <t>Bắt buộc</t>
        </is>
      </c>
      <c r="H141" s="2" t="inlineStr">
        <is>
          <t>Sprint 4</t>
        </is>
      </c>
      <c r="I141" s="2" t="inlineStr">
        <is>
          <t>Phát hành và soát vé sau khi booking/thanh toán hoàn tất.</t>
        </is>
      </c>
      <c r="J141" s="2" t="inlineStr">
        <is>
          <t>PH-03</t>
        </is>
      </c>
      <c r="K141" s="2" t="inlineStr">
        <is>
          <t>Core Product Build</t>
        </is>
      </c>
      <c r="L141" s="2" t="inlineStr">
        <is>
          <t>CIN-T-024</t>
        </is>
      </c>
      <c r="M141" s="2" t="inlineStr">
        <is>
          <t>Phát hành, tạo mã/QR và xác thực vé</t>
        </is>
      </c>
      <c r="N141" s="2" t="inlineStr">
        <is>
          <t>24120271</t>
        </is>
      </c>
      <c r="O141" s="2" t="inlineStr">
        <is>
          <t>Nguyen Trung Chinh</t>
        </is>
      </c>
      <c r="P141" s="2" t="inlineStr">
        <is>
          <t>CIN-SUB-140</t>
        </is>
      </c>
      <c r="Q141" s="2" t="inlineStr">
        <is>
          <t>Sprint 4</t>
        </is>
      </c>
      <c r="R141" s="2" t="inlineStr">
        <is>
          <t>24120271</t>
        </is>
      </c>
      <c r="S141" s="2" t="inlineStr">
        <is>
          <t>Nguyen Trung Chinh</t>
        </is>
      </c>
      <c r="T141" s="3" t="n">
        <v>46340</v>
      </c>
      <c r="U141" s="3" t="n">
        <v>46353</v>
      </c>
      <c r="V141" s="2" t="n">
        <v>3</v>
      </c>
      <c r="W141" s="2" t="inlineStr">
        <is>
          <t>High</t>
        </is>
      </c>
      <c r="X141" s="2" t="inlineStr">
        <is>
          <t>Backend Development</t>
        </is>
      </c>
      <c r="Y141" s="2" t="inlineStr">
        <is>
          <t>CIN-T-023, CIN-T-022</t>
        </is>
      </c>
      <c r="Z141" s="2" t="inlineStr">
        <is>
          <t>Hoàn tất kết quả gốc: Tạo vé sau khi thanh toán thành công.</t>
        </is>
      </c>
      <c r="AA141" s="2" t="inlineStr">
        <is>
          <t>Kết quả gốc được kiểm tra và có bằng chứng gắn với CIN-SUB-140; ngoại lệ được ghi rõ.</t>
        </is>
      </c>
      <c r="AB141" s="2" t="inlineStr">
        <is>
          <t>Planned</t>
        </is>
      </c>
      <c r="AC141" s="2" t="inlineStr">
        <is>
          <t>Planned only; no completion evidence was transferred.</t>
        </is>
      </c>
    </row>
    <row r="142">
      <c r="A142" s="2" t="inlineStr">
        <is>
          <t>ORIG-141</t>
        </is>
      </c>
      <c r="B142" s="2" t="n">
        <v>142</v>
      </c>
      <c r="C142" s="2" t="inlineStr">
        <is>
          <t>Ticket</t>
        </is>
      </c>
      <c r="D142" s="2" t="n"/>
      <c r="E142" s="2" t="inlineStr">
        <is>
          <t>Generate Ticket Code</t>
        </is>
      </c>
      <c r="F142" s="2" t="inlineStr">
        <is>
          <t>Sinh mã vé duy nhất</t>
        </is>
      </c>
      <c r="G142" s="2" t="inlineStr">
        <is>
          <t>Bắt buộc</t>
        </is>
      </c>
      <c r="H142" s="2" t="inlineStr">
        <is>
          <t>Sprint 4</t>
        </is>
      </c>
      <c r="I142" s="2" t="inlineStr">
        <is>
          <t>Phát hành và soát vé sau khi booking/thanh toán hoàn tất.</t>
        </is>
      </c>
      <c r="J142" s="2" t="inlineStr">
        <is>
          <t>PH-03</t>
        </is>
      </c>
      <c r="K142" s="2" t="inlineStr">
        <is>
          <t>Core Product Build</t>
        </is>
      </c>
      <c r="L142" s="2" t="inlineStr">
        <is>
          <t>CIN-T-024</t>
        </is>
      </c>
      <c r="M142" s="2" t="inlineStr">
        <is>
          <t>Phát hành, tạo mã/QR và xác thực vé</t>
        </is>
      </c>
      <c r="N142" s="2" t="inlineStr">
        <is>
          <t>24120271</t>
        </is>
      </c>
      <c r="O142" s="2" t="inlineStr">
        <is>
          <t>Nguyen Trung Chinh</t>
        </is>
      </c>
      <c r="P142" s="2" t="inlineStr">
        <is>
          <t>CIN-SUB-141</t>
        </is>
      </c>
      <c r="Q142" s="2" t="inlineStr">
        <is>
          <t>Sprint 4</t>
        </is>
      </c>
      <c r="R142" s="2" t="inlineStr">
        <is>
          <t>24120244</t>
        </is>
      </c>
      <c r="S142" s="2" t="inlineStr">
        <is>
          <t>Phan Van Viet</t>
        </is>
      </c>
      <c r="T142" s="3" t="n">
        <v>46340</v>
      </c>
      <c r="U142" s="3" t="n">
        <v>46353</v>
      </c>
      <c r="V142" s="2" t="n">
        <v>3</v>
      </c>
      <c r="W142" s="2" t="inlineStr">
        <is>
          <t>High</t>
        </is>
      </c>
      <c r="X142" s="2" t="inlineStr">
        <is>
          <t>Backend Development</t>
        </is>
      </c>
      <c r="Y142" s="2" t="inlineStr">
        <is>
          <t>CIN-T-023, CIN-T-022</t>
        </is>
      </c>
      <c r="Z142" s="2" t="inlineStr">
        <is>
          <t>Hoàn tất kết quả gốc: Sinh mã vé duy nhất.</t>
        </is>
      </c>
      <c r="AA142" s="2" t="inlineStr">
        <is>
          <t>Kết quả gốc được kiểm tra và có bằng chứng gắn với CIN-SUB-141; ngoại lệ được ghi rõ.</t>
        </is>
      </c>
      <c r="AB142" s="2" t="inlineStr">
        <is>
          <t>Planned</t>
        </is>
      </c>
      <c r="AC142" s="2" t="inlineStr">
        <is>
          <t>Planned only; no completion evidence was transferred.</t>
        </is>
      </c>
    </row>
    <row r="143">
      <c r="A143" s="2" t="inlineStr">
        <is>
          <t>ORIG-142</t>
        </is>
      </c>
      <c r="B143" s="2" t="n">
        <v>143</v>
      </c>
      <c r="C143" s="2" t="inlineStr">
        <is>
          <t>Ticket</t>
        </is>
      </c>
      <c r="D143" s="2" t="n"/>
      <c r="E143" s="2" t="inlineStr">
        <is>
          <t>Generate QR Code</t>
        </is>
      </c>
      <c r="F143" s="2" t="inlineStr">
        <is>
          <t>QR Code chứa thông tin vé</t>
        </is>
      </c>
      <c r="G143" s="2" t="inlineStr">
        <is>
          <t>Bắt buộc</t>
        </is>
      </c>
      <c r="H143" s="2" t="inlineStr">
        <is>
          <t>Sprint 4</t>
        </is>
      </c>
      <c r="I143" s="2" t="inlineStr">
        <is>
          <t>Phát hành và soát vé sau khi booking/thanh toán hoàn tất.</t>
        </is>
      </c>
      <c r="J143" s="2" t="inlineStr">
        <is>
          <t>PH-03</t>
        </is>
      </c>
      <c r="K143" s="2" t="inlineStr">
        <is>
          <t>Core Product Build</t>
        </is>
      </c>
      <c r="L143" s="2" t="inlineStr">
        <is>
          <t>CIN-T-024</t>
        </is>
      </c>
      <c r="M143" s="2" t="inlineStr">
        <is>
          <t>Phát hành, tạo mã/QR và xác thực vé</t>
        </is>
      </c>
      <c r="N143" s="2" t="inlineStr">
        <is>
          <t>24120271</t>
        </is>
      </c>
      <c r="O143" s="2" t="inlineStr">
        <is>
          <t>Nguyen Trung Chinh</t>
        </is>
      </c>
      <c r="P143" s="2" t="inlineStr">
        <is>
          <t>CIN-SUB-142</t>
        </is>
      </c>
      <c r="Q143" s="2" t="inlineStr">
        <is>
          <t>Sprint 4</t>
        </is>
      </c>
      <c r="R143" s="2" t="inlineStr">
        <is>
          <t>24120235</t>
        </is>
      </c>
      <c r="S143" s="2" t="inlineStr">
        <is>
          <t>Huynh Thanh Tu</t>
        </is>
      </c>
      <c r="T143" s="3" t="n">
        <v>46340</v>
      </c>
      <c r="U143" s="3" t="n">
        <v>46353</v>
      </c>
      <c r="V143" s="2" t="n">
        <v>2</v>
      </c>
      <c r="W143" s="2" t="inlineStr">
        <is>
          <t>High</t>
        </is>
      </c>
      <c r="X143" s="2" t="inlineStr">
        <is>
          <t>Backend Development</t>
        </is>
      </c>
      <c r="Y143" s="2" t="inlineStr">
        <is>
          <t>CIN-T-023, CIN-T-022</t>
        </is>
      </c>
      <c r="Z143" s="2" t="inlineStr">
        <is>
          <t>Hoàn tất kết quả gốc: QR Code chứa thông tin vé.</t>
        </is>
      </c>
      <c r="AA143" s="2" t="inlineStr">
        <is>
          <t>Kết quả gốc được kiểm tra và có bằng chứng gắn với CIN-SUB-142; ngoại lệ được ghi rõ.</t>
        </is>
      </c>
      <c r="AB143" s="2" t="inlineStr">
        <is>
          <t>Planned</t>
        </is>
      </c>
      <c r="AC143" s="2" t="inlineStr">
        <is>
          <t>Planned only; no completion evidence was transferred.</t>
        </is>
      </c>
    </row>
    <row r="144">
      <c r="A144" s="2" t="inlineStr">
        <is>
          <t>ORIG-143</t>
        </is>
      </c>
      <c r="B144" s="2" t="n">
        <v>144</v>
      </c>
      <c r="C144" s="2" t="inlineStr">
        <is>
          <t>Ticket</t>
        </is>
      </c>
      <c r="D144" s="2" t="n"/>
      <c r="E144" s="2" t="inlineStr">
        <is>
          <t>Ticket Validation</t>
        </is>
      </c>
      <c r="F144" s="2" t="inlineStr">
        <is>
          <t>Kiểm tra vé hợp lệ</t>
        </is>
      </c>
      <c r="G144" s="2" t="inlineStr">
        <is>
          <t>Bắt buộc</t>
        </is>
      </c>
      <c r="H144" s="2" t="inlineStr">
        <is>
          <t>Sprint 4</t>
        </is>
      </c>
      <c r="I144" s="2" t="inlineStr">
        <is>
          <t>Phát hành và soát vé sau khi booking/thanh toán hoàn tất.</t>
        </is>
      </c>
      <c r="J144" s="2" t="inlineStr">
        <is>
          <t>PH-03</t>
        </is>
      </c>
      <c r="K144" s="2" t="inlineStr">
        <is>
          <t>Core Product Build</t>
        </is>
      </c>
      <c r="L144" s="2" t="inlineStr">
        <is>
          <t>CIN-T-024</t>
        </is>
      </c>
      <c r="M144" s="2" t="inlineStr">
        <is>
          <t>Phát hành, tạo mã/QR và xác thực vé</t>
        </is>
      </c>
      <c r="N144" s="2" t="inlineStr">
        <is>
          <t>24120271</t>
        </is>
      </c>
      <c r="O144" s="2" t="inlineStr">
        <is>
          <t>Nguyen Trung Chinh</t>
        </is>
      </c>
      <c r="P144" s="2" t="inlineStr">
        <is>
          <t>CIN-SUB-143</t>
        </is>
      </c>
      <c r="Q144" s="2" t="inlineStr">
        <is>
          <t>Sprint 4</t>
        </is>
      </c>
      <c r="R144" s="2" t="inlineStr">
        <is>
          <t>24120098</t>
        </is>
      </c>
      <c r="S144" s="2" t="inlineStr">
        <is>
          <t>Nguyen Quoc Nam</t>
        </is>
      </c>
      <c r="T144" s="3" t="n">
        <v>46340</v>
      </c>
      <c r="U144" s="3" t="n">
        <v>46353</v>
      </c>
      <c r="V144" s="2" t="n">
        <v>3</v>
      </c>
      <c r="W144" s="2" t="inlineStr">
        <is>
          <t>High</t>
        </is>
      </c>
      <c r="X144" s="2" t="inlineStr">
        <is>
          <t>Backend Development</t>
        </is>
      </c>
      <c r="Y144" s="2" t="inlineStr">
        <is>
          <t>CIN-T-023, CIN-T-022</t>
        </is>
      </c>
      <c r="Z144" s="2" t="inlineStr">
        <is>
          <t>Hoàn tất kết quả gốc: Kiểm tra vé hợp lệ.</t>
        </is>
      </c>
      <c r="AA144" s="2" t="inlineStr">
        <is>
          <t>Kết quả gốc được kiểm tra và có bằng chứng gắn với CIN-SUB-143; ngoại lệ được ghi rõ.</t>
        </is>
      </c>
      <c r="AB144" s="2" t="inlineStr">
        <is>
          <t>Planned</t>
        </is>
      </c>
      <c r="AC144" s="2" t="inlineStr">
        <is>
          <t>Planned only; no completion evidence was transferred.</t>
        </is>
      </c>
    </row>
    <row r="145">
      <c r="A145" s="2" t="inlineStr">
        <is>
          <t>ORIG-144</t>
        </is>
      </c>
      <c r="B145" s="2" t="n">
        <v>145</v>
      </c>
      <c r="C145" s="2" t="inlineStr">
        <is>
          <t>Ticket</t>
        </is>
      </c>
      <c r="D145" s="2" t="n"/>
      <c r="E145" s="2" t="inlineStr">
        <is>
          <t>Ticket Status</t>
        </is>
      </c>
      <c r="F145" s="2" t="inlineStr">
        <is>
          <t>Active / Used / Cancelled / Expired</t>
        </is>
      </c>
      <c r="G145" s="2" t="inlineStr">
        <is>
          <t>Bắt buộc</t>
        </is>
      </c>
      <c r="H145" s="2" t="inlineStr">
        <is>
          <t>Sprint 4</t>
        </is>
      </c>
      <c r="I145" s="2" t="inlineStr">
        <is>
          <t>Phát hành và soát vé sau khi booking/thanh toán hoàn tất.</t>
        </is>
      </c>
      <c r="J145" s="2" t="inlineStr">
        <is>
          <t>PH-03</t>
        </is>
      </c>
      <c r="K145" s="2" t="inlineStr">
        <is>
          <t>Core Product Build</t>
        </is>
      </c>
      <c r="L145" s="2" t="inlineStr">
        <is>
          <t>CIN-T-024</t>
        </is>
      </c>
      <c r="M145" s="2" t="inlineStr">
        <is>
          <t>Phát hành, tạo mã/QR và xác thực vé</t>
        </is>
      </c>
      <c r="N145" s="2" t="inlineStr">
        <is>
          <t>24120271</t>
        </is>
      </c>
      <c r="O145" s="2" t="inlineStr">
        <is>
          <t>Nguyen Trung Chinh</t>
        </is>
      </c>
      <c r="P145" s="2" t="inlineStr">
        <is>
          <t>CIN-SUB-144</t>
        </is>
      </c>
      <c r="Q145" s="2" t="inlineStr">
        <is>
          <t>Sprint 4</t>
        </is>
      </c>
      <c r="R145" s="2" t="inlineStr">
        <is>
          <t>24120255</t>
        </is>
      </c>
      <c r="S145" s="2" t="inlineStr">
        <is>
          <t>Tran Thien An</t>
        </is>
      </c>
      <c r="T145" s="3" t="n">
        <v>46340</v>
      </c>
      <c r="U145" s="3" t="n">
        <v>46353</v>
      </c>
      <c r="V145" s="2" t="n">
        <v>3</v>
      </c>
      <c r="W145" s="2" t="inlineStr">
        <is>
          <t>High</t>
        </is>
      </c>
      <c r="X145" s="2" t="inlineStr">
        <is>
          <t>Backend Development</t>
        </is>
      </c>
      <c r="Y145" s="2" t="inlineStr">
        <is>
          <t>CIN-T-023, CIN-T-022</t>
        </is>
      </c>
      <c r="Z145" s="2" t="inlineStr">
        <is>
          <t>Hoàn tất kết quả gốc: Active / Used / Cancelled / Expired.</t>
        </is>
      </c>
      <c r="AA145" s="2" t="inlineStr">
        <is>
          <t>Kết quả gốc được kiểm tra và có bằng chứng gắn với CIN-SUB-144; ngoại lệ được ghi rõ.</t>
        </is>
      </c>
      <c r="AB145" s="2" t="inlineStr">
        <is>
          <t>Planned</t>
        </is>
      </c>
      <c r="AC145" s="2" t="inlineStr">
        <is>
          <t>Planned only; no completion evidence was transferred.</t>
        </is>
      </c>
    </row>
    <row r="146">
      <c r="A146" s="2" t="inlineStr">
        <is>
          <t>ORIG-145</t>
        </is>
      </c>
      <c r="B146" s="2" t="n">
        <v>146</v>
      </c>
      <c r="C146" s="2" t="inlineStr">
        <is>
          <t>Customer Web</t>
        </is>
      </c>
      <c r="D146" s="2" t="inlineStr">
        <is>
          <t>Code toàn bộ Customer Web</t>
        </is>
      </c>
      <c r="E146" s="2" t="inlineStr">
        <is>
          <t>Web Layout</t>
        </is>
      </c>
      <c r="F146" s="2" t="inlineStr">
        <is>
          <t>Header, Footer, Navigation, Responsive</t>
        </is>
      </c>
      <c r="G146" s="2" t="inlineStr">
        <is>
          <t>Bắt buộc</t>
        </is>
      </c>
      <c r="H146" s="2" t="inlineStr">
        <is>
          <t>Sprint 3</t>
        </is>
      </c>
      <c r="I146" s="2" t="inlineStr">
        <is>
          <t>Phát triển UI theo lát cắt và tích hợp dần, không đợi UI hoàn chỉnh hết.</t>
        </is>
      </c>
      <c r="J146" s="2" t="inlineStr">
        <is>
          <t>PH-03</t>
        </is>
      </c>
      <c r="K146" s="2" t="inlineStr">
        <is>
          <t>Core Product Build</t>
        </is>
      </c>
      <c r="L146" s="2" t="inlineStr">
        <is>
          <t>CIN-T-025</t>
        </is>
      </c>
      <c r="M146" s="2" t="inlineStr">
        <is>
          <t>Xây giao diện xem phim và chọn suất chiếu</t>
        </is>
      </c>
      <c r="N146" s="2" t="inlineStr">
        <is>
          <t>24120271</t>
        </is>
      </c>
      <c r="O146" s="2" t="inlineStr">
        <is>
          <t>Nguyen Trung Chinh</t>
        </is>
      </c>
      <c r="P146" s="2" t="inlineStr">
        <is>
          <t>CIN-SUB-145</t>
        </is>
      </c>
      <c r="Q146" s="2" t="inlineStr">
        <is>
          <t>Sprint 3</t>
        </is>
      </c>
      <c r="R146" s="2" t="inlineStr">
        <is>
          <t>24120271</t>
        </is>
      </c>
      <c r="S146" s="2" t="inlineStr">
        <is>
          <t>Nguyen Trung Chinh</t>
        </is>
      </c>
      <c r="T146" s="3" t="n">
        <v>46326</v>
      </c>
      <c r="U146" s="3" t="n">
        <v>46339</v>
      </c>
      <c r="V146" s="2" t="n">
        <v>3</v>
      </c>
      <c r="W146" s="2" t="inlineStr">
        <is>
          <t>High</t>
        </is>
      </c>
      <c r="X146" s="2" t="inlineStr">
        <is>
          <t>Frontend Development</t>
        </is>
      </c>
      <c r="Y146" s="2" t="inlineStr">
        <is>
          <t>CIN-T-009, CIN-T-015</t>
        </is>
      </c>
      <c r="Z146" s="2" t="inlineStr">
        <is>
          <t>Hoàn tất kết quả gốc: Header, Footer, Navigation, Responsive.</t>
        </is>
      </c>
      <c r="AA146" s="2" t="inlineStr">
        <is>
          <t>Kết quả gốc được kiểm tra và có bằng chứng gắn với CIN-SUB-145; ngoại lệ được ghi rõ.</t>
        </is>
      </c>
      <c r="AB146" s="2" t="inlineStr">
        <is>
          <t>Planned</t>
        </is>
      </c>
      <c r="AC146" s="2" t="inlineStr">
        <is>
          <t>Planned only; no completion evidence was transferred. Confirm that limited foundation coding is allowed before PA3 design baseline.</t>
        </is>
      </c>
    </row>
    <row r="147">
      <c r="A147" s="2" t="inlineStr">
        <is>
          <t>ORIG-146</t>
        </is>
      </c>
      <c r="B147" s="2" t="n">
        <v>147</v>
      </c>
      <c r="C147" s="2" t="inlineStr">
        <is>
          <t>Customer Web</t>
        </is>
      </c>
      <c r="D147" s="2" t="n"/>
      <c r="E147" s="2" t="inlineStr">
        <is>
          <t>Trang Home</t>
        </is>
      </c>
      <c r="F147" s="2" t="inlineStr">
        <is>
          <t>Phim đang chiếu / sắp chiếu</t>
        </is>
      </c>
      <c r="G147" s="2" t="inlineStr">
        <is>
          <t>Bắt buộc</t>
        </is>
      </c>
      <c r="H147" s="2" t="inlineStr">
        <is>
          <t>Sprint 3</t>
        </is>
      </c>
      <c r="I147" s="2" t="inlineStr">
        <is>
          <t>Phát triển UI theo lát cắt và tích hợp dần, không đợi UI hoàn chỉnh hết.</t>
        </is>
      </c>
      <c r="J147" s="2" t="inlineStr">
        <is>
          <t>PH-03</t>
        </is>
      </c>
      <c r="K147" s="2" t="inlineStr">
        <is>
          <t>Core Product Build</t>
        </is>
      </c>
      <c r="L147" s="2" t="inlineStr">
        <is>
          <t>CIN-T-025</t>
        </is>
      </c>
      <c r="M147" s="2" t="inlineStr">
        <is>
          <t>Xây giao diện xem phim và chọn suất chiếu</t>
        </is>
      </c>
      <c r="N147" s="2" t="inlineStr">
        <is>
          <t>24120271</t>
        </is>
      </c>
      <c r="O147" s="2" t="inlineStr">
        <is>
          <t>Nguyen Trung Chinh</t>
        </is>
      </c>
      <c r="P147" s="2" t="inlineStr">
        <is>
          <t>CIN-SUB-146</t>
        </is>
      </c>
      <c r="Q147" s="2" t="inlineStr">
        <is>
          <t>Sprint 3</t>
        </is>
      </c>
      <c r="R147" s="2" t="inlineStr">
        <is>
          <t>24120235</t>
        </is>
      </c>
      <c r="S147" s="2" t="inlineStr">
        <is>
          <t>Huynh Thanh Tu</t>
        </is>
      </c>
      <c r="T147" s="3" t="n">
        <v>46326</v>
      </c>
      <c r="U147" s="3" t="n">
        <v>46339</v>
      </c>
      <c r="V147" s="2" t="n">
        <v>2</v>
      </c>
      <c r="W147" s="2" t="inlineStr">
        <is>
          <t>High</t>
        </is>
      </c>
      <c r="X147" s="2" t="inlineStr">
        <is>
          <t>Frontend Development</t>
        </is>
      </c>
      <c r="Y147" s="2" t="inlineStr">
        <is>
          <t>CIN-T-009, CIN-T-015</t>
        </is>
      </c>
      <c r="Z147" s="2" t="inlineStr">
        <is>
          <t>Hoàn tất kết quả gốc: Phim đang chiếu / sắp chiếu.</t>
        </is>
      </c>
      <c r="AA147" s="2" t="inlineStr">
        <is>
          <t>Kết quả gốc được kiểm tra và có bằng chứng gắn với CIN-SUB-146; ngoại lệ được ghi rõ.</t>
        </is>
      </c>
      <c r="AB147" s="2" t="inlineStr">
        <is>
          <t>Planned</t>
        </is>
      </c>
      <c r="AC147" s="2" t="inlineStr">
        <is>
          <t>Planned only; no completion evidence was transferred. Confirm that limited foundation coding is allowed before PA3 design baseline.</t>
        </is>
      </c>
    </row>
    <row r="148">
      <c r="A148" s="2" t="inlineStr">
        <is>
          <t>ORIG-147</t>
        </is>
      </c>
      <c r="B148" s="2" t="n">
        <v>148</v>
      </c>
      <c r="C148" s="2" t="inlineStr">
        <is>
          <t>Customer Web</t>
        </is>
      </c>
      <c r="D148" s="2" t="n"/>
      <c r="E148" s="2" t="inlineStr">
        <is>
          <t>Trang Movie List</t>
        </is>
      </c>
      <c r="F148" s="2" t="inlineStr">
        <is>
          <t>Danh sách phim</t>
        </is>
      </c>
      <c r="G148" s="2" t="inlineStr">
        <is>
          <t>Bắt buộc</t>
        </is>
      </c>
      <c r="H148" s="2" t="inlineStr">
        <is>
          <t>Sprint 3</t>
        </is>
      </c>
      <c r="I148" s="2" t="inlineStr">
        <is>
          <t>Phát triển UI theo lát cắt và tích hợp dần, không đợi UI hoàn chỉnh hết.</t>
        </is>
      </c>
      <c r="J148" s="2" t="inlineStr">
        <is>
          <t>PH-03</t>
        </is>
      </c>
      <c r="K148" s="2" t="inlineStr">
        <is>
          <t>Core Product Build</t>
        </is>
      </c>
      <c r="L148" s="2" t="inlineStr">
        <is>
          <t>CIN-T-025</t>
        </is>
      </c>
      <c r="M148" s="2" t="inlineStr">
        <is>
          <t>Xây giao diện xem phim và chọn suất chiếu</t>
        </is>
      </c>
      <c r="N148" s="2" t="inlineStr">
        <is>
          <t>24120271</t>
        </is>
      </c>
      <c r="O148" s="2" t="inlineStr">
        <is>
          <t>Nguyen Trung Chinh</t>
        </is>
      </c>
      <c r="P148" s="2" t="inlineStr">
        <is>
          <t>CIN-SUB-147</t>
        </is>
      </c>
      <c r="Q148" s="2" t="inlineStr">
        <is>
          <t>Sprint 3</t>
        </is>
      </c>
      <c r="R148" s="2" t="inlineStr">
        <is>
          <t>24120244</t>
        </is>
      </c>
      <c r="S148" s="2" t="inlineStr">
        <is>
          <t>Phan Van Viet</t>
        </is>
      </c>
      <c r="T148" s="3" t="n">
        <v>46326</v>
      </c>
      <c r="U148" s="3" t="n">
        <v>46339</v>
      </c>
      <c r="V148" s="2" t="n">
        <v>2</v>
      </c>
      <c r="W148" s="2" t="inlineStr">
        <is>
          <t>High</t>
        </is>
      </c>
      <c r="X148" s="2" t="inlineStr">
        <is>
          <t>Frontend Development</t>
        </is>
      </c>
      <c r="Y148" s="2" t="inlineStr">
        <is>
          <t>CIN-T-009, CIN-T-015</t>
        </is>
      </c>
      <c r="Z148" s="2" t="inlineStr">
        <is>
          <t>Hoàn tất kết quả gốc: Danh sách phim.</t>
        </is>
      </c>
      <c r="AA148" s="2" t="inlineStr">
        <is>
          <t>Kết quả gốc được kiểm tra và có bằng chứng gắn với CIN-SUB-147; ngoại lệ được ghi rõ.</t>
        </is>
      </c>
      <c r="AB148" s="2" t="inlineStr">
        <is>
          <t>Planned</t>
        </is>
      </c>
      <c r="AC148" s="2" t="inlineStr">
        <is>
          <t>Planned only; no completion evidence was transferred. Confirm that limited foundation coding is allowed before PA3 design baseline.</t>
        </is>
      </c>
    </row>
    <row r="149">
      <c r="A149" s="2" t="inlineStr">
        <is>
          <t>ORIG-148</t>
        </is>
      </c>
      <c r="B149" s="2" t="n">
        <v>149</v>
      </c>
      <c r="C149" s="2" t="inlineStr">
        <is>
          <t>Customer Web</t>
        </is>
      </c>
      <c r="D149" s="2" t="n"/>
      <c r="E149" s="2" t="inlineStr">
        <is>
          <t>Trang Movie Detail</t>
        </is>
      </c>
      <c r="F149" s="2" t="inlineStr">
        <is>
          <t>Thông tin chi tiết phim</t>
        </is>
      </c>
      <c r="G149" s="2" t="inlineStr">
        <is>
          <t>Bắt buộc</t>
        </is>
      </c>
      <c r="H149" s="2" t="inlineStr">
        <is>
          <t>Sprint 3</t>
        </is>
      </c>
      <c r="I149" s="2" t="inlineStr">
        <is>
          <t>Phát triển UI theo lát cắt và tích hợp dần, không đợi UI hoàn chỉnh hết.</t>
        </is>
      </c>
      <c r="J149" s="2" t="inlineStr">
        <is>
          <t>PH-03</t>
        </is>
      </c>
      <c r="K149" s="2" t="inlineStr">
        <is>
          <t>Core Product Build</t>
        </is>
      </c>
      <c r="L149" s="2" t="inlineStr">
        <is>
          <t>CIN-T-025</t>
        </is>
      </c>
      <c r="M149" s="2" t="inlineStr">
        <is>
          <t>Xây giao diện xem phim và chọn suất chiếu</t>
        </is>
      </c>
      <c r="N149" s="2" t="inlineStr">
        <is>
          <t>24120271</t>
        </is>
      </c>
      <c r="O149" s="2" t="inlineStr">
        <is>
          <t>Nguyen Trung Chinh</t>
        </is>
      </c>
      <c r="P149" s="2" t="inlineStr">
        <is>
          <t>CIN-SUB-148</t>
        </is>
      </c>
      <c r="Q149" s="2" t="inlineStr">
        <is>
          <t>Sprint 3</t>
        </is>
      </c>
      <c r="R149" s="2" t="inlineStr">
        <is>
          <t>24120255</t>
        </is>
      </c>
      <c r="S149" s="2" t="inlineStr">
        <is>
          <t>Tran Thien An</t>
        </is>
      </c>
      <c r="T149" s="3" t="n">
        <v>46326</v>
      </c>
      <c r="U149" s="3" t="n">
        <v>46339</v>
      </c>
      <c r="V149" s="2" t="n">
        <v>2</v>
      </c>
      <c r="W149" s="2" t="inlineStr">
        <is>
          <t>High</t>
        </is>
      </c>
      <c r="X149" s="2" t="inlineStr">
        <is>
          <t>Frontend Development</t>
        </is>
      </c>
      <c r="Y149" s="2" t="inlineStr">
        <is>
          <t>CIN-T-009, CIN-T-015</t>
        </is>
      </c>
      <c r="Z149" s="2" t="inlineStr">
        <is>
          <t>Hoàn tất kết quả gốc: Thông tin chi tiết phim.</t>
        </is>
      </c>
      <c r="AA149" s="2" t="inlineStr">
        <is>
          <t>Kết quả gốc được kiểm tra và có bằng chứng gắn với CIN-SUB-148; ngoại lệ được ghi rõ.</t>
        </is>
      </c>
      <c r="AB149" s="2" t="inlineStr">
        <is>
          <t>Planned</t>
        </is>
      </c>
      <c r="AC149" s="2" t="inlineStr">
        <is>
          <t>Planned only; no completion evidence was transferred. Conditional/optional; confirm rubric, infrastructure and remaining capacity. Confirm that limited foundation coding is allowed before PA3 design baseline.</t>
        </is>
      </c>
    </row>
    <row r="150">
      <c r="A150" s="2" t="inlineStr">
        <is>
          <t>ORIG-149</t>
        </is>
      </c>
      <c r="B150" s="2" t="n">
        <v>150</v>
      </c>
      <c r="C150" s="2" t="inlineStr">
        <is>
          <t>Customer Web</t>
        </is>
      </c>
      <c r="D150" s="2" t="n"/>
      <c r="E150" s="2" t="inlineStr">
        <is>
          <t>Trang Showtime</t>
        </is>
      </c>
      <c r="F150" s="2" t="inlineStr">
        <is>
          <t>Lịch chiếu</t>
        </is>
      </c>
      <c r="G150" s="2" t="inlineStr">
        <is>
          <t>Bắt buộc</t>
        </is>
      </c>
      <c r="H150" s="2" t="inlineStr">
        <is>
          <t>Sprint 3</t>
        </is>
      </c>
      <c r="I150" s="2" t="inlineStr">
        <is>
          <t>Phát triển UI theo lát cắt và tích hợp dần, không đợi UI hoàn chỉnh hết.</t>
        </is>
      </c>
      <c r="J150" s="2" t="inlineStr">
        <is>
          <t>PH-03</t>
        </is>
      </c>
      <c r="K150" s="2" t="inlineStr">
        <is>
          <t>Core Product Build</t>
        </is>
      </c>
      <c r="L150" s="2" t="inlineStr">
        <is>
          <t>CIN-T-025</t>
        </is>
      </c>
      <c r="M150" s="2" t="inlineStr">
        <is>
          <t>Xây giao diện xem phim và chọn suất chiếu</t>
        </is>
      </c>
      <c r="N150" s="2" t="inlineStr">
        <is>
          <t>24120271</t>
        </is>
      </c>
      <c r="O150" s="2" t="inlineStr">
        <is>
          <t>Nguyen Trung Chinh</t>
        </is>
      </c>
      <c r="P150" s="2" t="inlineStr">
        <is>
          <t>CIN-SUB-149</t>
        </is>
      </c>
      <c r="Q150" s="2" t="inlineStr">
        <is>
          <t>Sprint 3</t>
        </is>
      </c>
      <c r="R150" s="2" t="inlineStr">
        <is>
          <t>24120098</t>
        </is>
      </c>
      <c r="S150" s="2" t="inlineStr">
        <is>
          <t>Nguyen Quoc Nam</t>
        </is>
      </c>
      <c r="T150" s="3" t="n">
        <v>46326</v>
      </c>
      <c r="U150" s="3" t="n">
        <v>46339</v>
      </c>
      <c r="V150" s="2" t="n">
        <v>2</v>
      </c>
      <c r="W150" s="2" t="inlineStr">
        <is>
          <t>High</t>
        </is>
      </c>
      <c r="X150" s="2" t="inlineStr">
        <is>
          <t>Frontend Development</t>
        </is>
      </c>
      <c r="Y150" s="2" t="inlineStr">
        <is>
          <t>CIN-T-009, CIN-T-015</t>
        </is>
      </c>
      <c r="Z150" s="2" t="inlineStr">
        <is>
          <t>Hoàn tất kết quả gốc: Lịch chiếu.</t>
        </is>
      </c>
      <c r="AA150" s="2" t="inlineStr">
        <is>
          <t>Kết quả gốc được kiểm tra và có bằng chứng gắn với CIN-SUB-149; ngoại lệ được ghi rõ.</t>
        </is>
      </c>
      <c r="AB150" s="2" t="inlineStr">
        <is>
          <t>Planned</t>
        </is>
      </c>
      <c r="AC150" s="2" t="inlineStr">
        <is>
          <t>Planned only; no completion evidence was transferred. Confirm that limited foundation coding is allowed before PA3 design baseline.</t>
        </is>
      </c>
    </row>
    <row r="151">
      <c r="A151" s="2" t="inlineStr">
        <is>
          <t>ORIG-150</t>
        </is>
      </c>
      <c r="B151" s="2" t="n">
        <v>151</v>
      </c>
      <c r="C151" s="2" t="inlineStr">
        <is>
          <t>Customer Web</t>
        </is>
      </c>
      <c r="D151" s="2" t="n"/>
      <c r="E151" s="2" t="inlineStr">
        <is>
          <t>Trang Seat Selection</t>
        </is>
      </c>
      <c r="F151" s="2" t="inlineStr">
        <is>
          <t>Sơ đồ chọn ghế</t>
        </is>
      </c>
      <c r="G151" s="2" t="inlineStr">
        <is>
          <t>Bắt buộc</t>
        </is>
      </c>
      <c r="H151" s="2" t="inlineStr">
        <is>
          <t>Sprint 3</t>
        </is>
      </c>
      <c r="I151" s="2" t="inlineStr">
        <is>
          <t>Phát triển UI theo lát cắt và tích hợp dần, không đợi UI hoàn chỉnh hết.</t>
        </is>
      </c>
      <c r="J151" s="2" t="inlineStr">
        <is>
          <t>PH-03</t>
        </is>
      </c>
      <c r="K151" s="2" t="inlineStr">
        <is>
          <t>Core Product Build</t>
        </is>
      </c>
      <c r="L151" s="2" t="inlineStr">
        <is>
          <t>CIN-T-026</t>
        </is>
      </c>
      <c r="M151" s="2" t="inlineStr">
        <is>
          <t>Xây giao diện ghế, thanh toán và tài khoản</t>
        </is>
      </c>
      <c r="N151" s="2" t="inlineStr">
        <is>
          <t>24120271</t>
        </is>
      </c>
      <c r="O151" s="2" t="inlineStr">
        <is>
          <t>Nguyen Trung Chinh</t>
        </is>
      </c>
      <c r="P151" s="2" t="inlineStr">
        <is>
          <t>CIN-SUB-150</t>
        </is>
      </c>
      <c r="Q151" s="2" t="inlineStr">
        <is>
          <t>Sprint 4</t>
        </is>
      </c>
      <c r="R151" s="2" t="inlineStr">
        <is>
          <t>24120235</t>
        </is>
      </c>
      <c r="S151" s="2" t="inlineStr">
        <is>
          <t>Huynh Thanh Tu</t>
        </is>
      </c>
      <c r="T151" s="3" t="n">
        <v>46340</v>
      </c>
      <c r="U151" s="3" t="n">
        <v>46353</v>
      </c>
      <c r="V151" s="2" t="n">
        <v>2</v>
      </c>
      <c r="W151" s="2" t="inlineStr">
        <is>
          <t>High</t>
        </is>
      </c>
      <c r="X151" s="2" t="inlineStr">
        <is>
          <t>Frontend Development</t>
        </is>
      </c>
      <c r="Y151" s="2" t="inlineStr">
        <is>
          <t>CIN-T-025, CIN-T-022, CIN-T-023, CIN-T-024</t>
        </is>
      </c>
      <c r="Z151" s="2" t="inlineStr">
        <is>
          <t>Hoàn tất kết quả gốc: Sơ đồ chọn ghế.</t>
        </is>
      </c>
      <c r="AA151" s="2" t="inlineStr">
        <is>
          <t>Kết quả gốc được kiểm tra và có bằng chứng gắn với CIN-SUB-150; ngoại lệ được ghi rõ.</t>
        </is>
      </c>
      <c r="AB151" s="2" t="inlineStr">
        <is>
          <t>Planned</t>
        </is>
      </c>
      <c r="AC151" s="2" t="inlineStr">
        <is>
          <t>Planned only; no completion evidence was transferred.</t>
        </is>
      </c>
    </row>
    <row r="152">
      <c r="A152" s="2" t="inlineStr">
        <is>
          <t>ORIG-151</t>
        </is>
      </c>
      <c r="B152" s="2" t="n">
        <v>152</v>
      </c>
      <c r="C152" s="2" t="inlineStr">
        <is>
          <t>Customer Web</t>
        </is>
      </c>
      <c r="D152" s="2" t="n"/>
      <c r="E152" s="2" t="inlineStr">
        <is>
          <t>Trang Ticket Type</t>
        </is>
      </c>
      <c r="F152" s="2" t="inlineStr">
        <is>
          <t>Chọn loại vé</t>
        </is>
      </c>
      <c r="G152" s="2" t="inlineStr">
        <is>
          <t>Bắt buộc</t>
        </is>
      </c>
      <c r="H152" s="2" t="inlineStr">
        <is>
          <t>Sprint 3</t>
        </is>
      </c>
      <c r="I152" s="2" t="inlineStr">
        <is>
          <t>Phát triển UI theo lát cắt và tích hợp dần, không đợi UI hoàn chỉnh hết.</t>
        </is>
      </c>
      <c r="J152" s="2" t="inlineStr">
        <is>
          <t>PH-03</t>
        </is>
      </c>
      <c r="K152" s="2" t="inlineStr">
        <is>
          <t>Core Product Build</t>
        </is>
      </c>
      <c r="L152" s="2" t="inlineStr">
        <is>
          <t>CIN-T-026</t>
        </is>
      </c>
      <c r="M152" s="2" t="inlineStr">
        <is>
          <t>Xây giao diện ghế, thanh toán và tài khoản</t>
        </is>
      </c>
      <c r="N152" s="2" t="inlineStr">
        <is>
          <t>24120271</t>
        </is>
      </c>
      <c r="O152" s="2" t="inlineStr">
        <is>
          <t>Nguyen Trung Chinh</t>
        </is>
      </c>
      <c r="P152" s="2" t="inlineStr">
        <is>
          <t>CIN-SUB-151</t>
        </is>
      </c>
      <c r="Q152" s="2" t="inlineStr">
        <is>
          <t>Sprint 4</t>
        </is>
      </c>
      <c r="R152" s="2" t="inlineStr">
        <is>
          <t>24120271</t>
        </is>
      </c>
      <c r="S152" s="2" t="inlineStr">
        <is>
          <t>Nguyen Trung Chinh</t>
        </is>
      </c>
      <c r="T152" s="3" t="n">
        <v>46340</v>
      </c>
      <c r="U152" s="3" t="n">
        <v>46353</v>
      </c>
      <c r="V152" s="2" t="n">
        <v>3</v>
      </c>
      <c r="W152" s="2" t="inlineStr">
        <is>
          <t>High</t>
        </is>
      </c>
      <c r="X152" s="2" t="inlineStr">
        <is>
          <t>Frontend Development</t>
        </is>
      </c>
      <c r="Y152" s="2" t="inlineStr">
        <is>
          <t>CIN-T-025, CIN-T-022, CIN-T-023, CIN-T-024</t>
        </is>
      </c>
      <c r="Z152" s="2" t="inlineStr">
        <is>
          <t>Hoàn tất kết quả gốc: Chọn loại vé.</t>
        </is>
      </c>
      <c r="AA152" s="2" t="inlineStr">
        <is>
          <t>Kết quả gốc được kiểm tra và có bằng chứng gắn với CIN-SUB-151; ngoại lệ được ghi rõ.</t>
        </is>
      </c>
      <c r="AB152" s="2" t="inlineStr">
        <is>
          <t>Planned</t>
        </is>
      </c>
      <c r="AC152" s="2" t="inlineStr">
        <is>
          <t>Planned only; no completion evidence was transferred.</t>
        </is>
      </c>
    </row>
    <row r="153">
      <c r="A153" s="2" t="inlineStr">
        <is>
          <t>ORIG-152</t>
        </is>
      </c>
      <c r="B153" s="2" t="n">
        <v>153</v>
      </c>
      <c r="C153" s="2" t="inlineStr">
        <is>
          <t>Customer Web</t>
        </is>
      </c>
      <c r="D153" s="2" t="n"/>
      <c r="E153" s="2" t="inlineStr">
        <is>
          <t>Trang Booking Confirmation</t>
        </is>
      </c>
      <c r="F153" s="2" t="inlineStr">
        <is>
          <t>Xác nhận thông tin đặt vé</t>
        </is>
      </c>
      <c r="G153" s="2" t="inlineStr">
        <is>
          <t>Bắt buộc</t>
        </is>
      </c>
      <c r="H153" s="2" t="inlineStr">
        <is>
          <t>Sprint 3</t>
        </is>
      </c>
      <c r="I153" s="2" t="inlineStr">
        <is>
          <t>Phát triển UI theo lát cắt và tích hợp dần, không đợi UI hoàn chỉnh hết.</t>
        </is>
      </c>
      <c r="J153" s="2" t="inlineStr">
        <is>
          <t>PH-03</t>
        </is>
      </c>
      <c r="K153" s="2" t="inlineStr">
        <is>
          <t>Core Product Build</t>
        </is>
      </c>
      <c r="L153" s="2" t="inlineStr">
        <is>
          <t>CIN-T-026</t>
        </is>
      </c>
      <c r="M153" s="2" t="inlineStr">
        <is>
          <t>Xây giao diện ghế, thanh toán và tài khoản</t>
        </is>
      </c>
      <c r="N153" s="2" t="inlineStr">
        <is>
          <t>24120271</t>
        </is>
      </c>
      <c r="O153" s="2" t="inlineStr">
        <is>
          <t>Nguyen Trung Chinh</t>
        </is>
      </c>
      <c r="P153" s="2" t="inlineStr">
        <is>
          <t>CIN-SUB-152</t>
        </is>
      </c>
      <c r="Q153" s="2" t="inlineStr">
        <is>
          <t>Sprint 4</t>
        </is>
      </c>
      <c r="R153" s="2" t="inlineStr">
        <is>
          <t>24120244</t>
        </is>
      </c>
      <c r="S153" s="2" t="inlineStr">
        <is>
          <t>Phan Van Viet</t>
        </is>
      </c>
      <c r="T153" s="3" t="n">
        <v>46340</v>
      </c>
      <c r="U153" s="3" t="n">
        <v>46353</v>
      </c>
      <c r="V153" s="2" t="n">
        <v>3</v>
      </c>
      <c r="W153" s="2" t="inlineStr">
        <is>
          <t>High</t>
        </is>
      </c>
      <c r="X153" s="2" t="inlineStr">
        <is>
          <t>Frontend Development</t>
        </is>
      </c>
      <c r="Y153" s="2" t="inlineStr">
        <is>
          <t>CIN-T-025, CIN-T-022, CIN-T-023, CIN-T-024</t>
        </is>
      </c>
      <c r="Z153" s="2" t="inlineStr">
        <is>
          <t>Hoàn tất kết quả gốc: Xác nhận thông tin đặt vé.</t>
        </is>
      </c>
      <c r="AA153" s="2" t="inlineStr">
        <is>
          <t>Kết quả gốc được kiểm tra và có bằng chứng gắn với CIN-SUB-152; ngoại lệ được ghi rõ.</t>
        </is>
      </c>
      <c r="AB153" s="2" t="inlineStr">
        <is>
          <t>Planned</t>
        </is>
      </c>
      <c r="AC153" s="2" t="inlineStr">
        <is>
          <t>Planned only; no completion evidence was transferred.</t>
        </is>
      </c>
    </row>
    <row r="154">
      <c r="A154" s="2" t="inlineStr">
        <is>
          <t>ORIG-153</t>
        </is>
      </c>
      <c r="B154" s="2" t="n">
        <v>154</v>
      </c>
      <c r="C154" s="2" t="inlineStr">
        <is>
          <t>Customer Web</t>
        </is>
      </c>
      <c r="D154" s="2" t="n"/>
      <c r="E154" s="2" t="inlineStr">
        <is>
          <t>Trang Payment</t>
        </is>
      </c>
      <c r="F154" s="2" t="inlineStr">
        <is>
          <t>Thanh toán</t>
        </is>
      </c>
      <c r="G154" s="2" t="inlineStr">
        <is>
          <t>Bắt buộc</t>
        </is>
      </c>
      <c r="H154" s="2" t="inlineStr">
        <is>
          <t>Sprint 3</t>
        </is>
      </c>
      <c r="I154" s="2" t="inlineStr">
        <is>
          <t>Phát triển UI theo lát cắt và tích hợp dần, không đợi UI hoàn chỉnh hết.</t>
        </is>
      </c>
      <c r="J154" s="2" t="inlineStr">
        <is>
          <t>PH-03</t>
        </is>
      </c>
      <c r="K154" s="2" t="inlineStr">
        <is>
          <t>Core Product Build</t>
        </is>
      </c>
      <c r="L154" s="2" t="inlineStr">
        <is>
          <t>CIN-T-026</t>
        </is>
      </c>
      <c r="M154" s="2" t="inlineStr">
        <is>
          <t>Xây giao diện ghế, thanh toán và tài khoản</t>
        </is>
      </c>
      <c r="N154" s="2" t="inlineStr">
        <is>
          <t>24120271</t>
        </is>
      </c>
      <c r="O154" s="2" t="inlineStr">
        <is>
          <t>Nguyen Trung Chinh</t>
        </is>
      </c>
      <c r="P154" s="2" t="inlineStr">
        <is>
          <t>CIN-SUB-153</t>
        </is>
      </c>
      <c r="Q154" s="2" t="inlineStr">
        <is>
          <t>Sprint 4</t>
        </is>
      </c>
      <c r="R154" s="2" t="inlineStr">
        <is>
          <t>24120098</t>
        </is>
      </c>
      <c r="S154" s="2" t="inlineStr">
        <is>
          <t>Nguyen Quoc Nam</t>
        </is>
      </c>
      <c r="T154" s="3" t="n">
        <v>46340</v>
      </c>
      <c r="U154" s="3" t="n">
        <v>46353</v>
      </c>
      <c r="V154" s="2" t="n">
        <v>3</v>
      </c>
      <c r="W154" s="2" t="inlineStr">
        <is>
          <t>High</t>
        </is>
      </c>
      <c r="X154" s="2" t="inlineStr">
        <is>
          <t>Frontend Development</t>
        </is>
      </c>
      <c r="Y154" s="2" t="inlineStr">
        <is>
          <t>CIN-T-025, CIN-T-022, CIN-T-023, CIN-T-024</t>
        </is>
      </c>
      <c r="Z154" s="2" t="inlineStr">
        <is>
          <t>Hoàn tất kết quả gốc: Thanh toán.</t>
        </is>
      </c>
      <c r="AA154" s="2" t="inlineStr">
        <is>
          <t>Kết quả gốc được kiểm tra và có bằng chứng gắn với CIN-SUB-153; ngoại lệ được ghi rõ.</t>
        </is>
      </c>
      <c r="AB154" s="2" t="inlineStr">
        <is>
          <t>Planned</t>
        </is>
      </c>
      <c r="AC154" s="2" t="inlineStr">
        <is>
          <t>Planned only; no completion evidence was transferred.</t>
        </is>
      </c>
    </row>
    <row r="155">
      <c r="A155" s="2" t="inlineStr">
        <is>
          <t>ORIG-154</t>
        </is>
      </c>
      <c r="B155" s="2" t="n">
        <v>155</v>
      </c>
      <c r="C155" s="2" t="inlineStr">
        <is>
          <t>Customer Web</t>
        </is>
      </c>
      <c r="D155" s="2" t="n"/>
      <c r="E155" s="2" t="inlineStr">
        <is>
          <t>Trang Payment Result</t>
        </is>
      </c>
      <c r="F155" s="2" t="inlineStr">
        <is>
          <t>Thành công / thất bại</t>
        </is>
      </c>
      <c r="G155" s="2" t="inlineStr">
        <is>
          <t>Bắt buộc</t>
        </is>
      </c>
      <c r="H155" s="2" t="inlineStr">
        <is>
          <t>Sprint 3</t>
        </is>
      </c>
      <c r="I155" s="2" t="inlineStr">
        <is>
          <t>Phát triển UI theo lát cắt và tích hợp dần, không đợi UI hoàn chỉnh hết.</t>
        </is>
      </c>
      <c r="J155" s="2" t="inlineStr">
        <is>
          <t>PH-03</t>
        </is>
      </c>
      <c r="K155" s="2" t="inlineStr">
        <is>
          <t>Core Product Build</t>
        </is>
      </c>
      <c r="L155" s="2" t="inlineStr">
        <is>
          <t>CIN-T-026</t>
        </is>
      </c>
      <c r="M155" s="2" t="inlineStr">
        <is>
          <t>Xây giao diện ghế, thanh toán và tài khoản</t>
        </is>
      </c>
      <c r="N155" s="2" t="inlineStr">
        <is>
          <t>24120271</t>
        </is>
      </c>
      <c r="O155" s="2" t="inlineStr">
        <is>
          <t>Nguyen Trung Chinh</t>
        </is>
      </c>
      <c r="P155" s="2" t="inlineStr">
        <is>
          <t>CIN-SUB-154</t>
        </is>
      </c>
      <c r="Q155" s="2" t="inlineStr">
        <is>
          <t>Sprint 4</t>
        </is>
      </c>
      <c r="R155" s="2" t="inlineStr">
        <is>
          <t>24120255</t>
        </is>
      </c>
      <c r="S155" s="2" t="inlineStr">
        <is>
          <t>Tran Thien An</t>
        </is>
      </c>
      <c r="T155" s="3" t="n">
        <v>46340</v>
      </c>
      <c r="U155" s="3" t="n">
        <v>46353</v>
      </c>
      <c r="V155" s="2" t="n">
        <v>3</v>
      </c>
      <c r="W155" s="2" t="inlineStr">
        <is>
          <t>High</t>
        </is>
      </c>
      <c r="X155" s="2" t="inlineStr">
        <is>
          <t>Frontend Development</t>
        </is>
      </c>
      <c r="Y155" s="2" t="inlineStr">
        <is>
          <t>CIN-T-025, CIN-T-022, CIN-T-023, CIN-T-024</t>
        </is>
      </c>
      <c r="Z155" s="2" t="inlineStr">
        <is>
          <t>Hoàn tất kết quả gốc: Thành công / thất bại.</t>
        </is>
      </c>
      <c r="AA155" s="2" t="inlineStr">
        <is>
          <t>Kết quả gốc được kiểm tra và có bằng chứng gắn với CIN-SUB-154; ngoại lệ được ghi rõ.</t>
        </is>
      </c>
      <c r="AB155" s="2" t="inlineStr">
        <is>
          <t>Planned</t>
        </is>
      </c>
      <c r="AC155" s="2" t="inlineStr">
        <is>
          <t>Planned only; no completion evidence was transferred.</t>
        </is>
      </c>
    </row>
    <row r="156">
      <c r="A156" s="2" t="inlineStr">
        <is>
          <t>ORIG-155</t>
        </is>
      </c>
      <c r="B156" s="2" t="n">
        <v>156</v>
      </c>
      <c r="C156" s="2" t="inlineStr">
        <is>
          <t>Customer Web</t>
        </is>
      </c>
      <c r="D156" s="2" t="n"/>
      <c r="E156" s="2" t="inlineStr">
        <is>
          <t>Trang My Tickets</t>
        </is>
      </c>
      <c r="F156" s="2" t="inlineStr">
        <is>
          <t>Vé của tôi</t>
        </is>
      </c>
      <c r="G156" s="2" t="inlineStr">
        <is>
          <t>Bắt buộc</t>
        </is>
      </c>
      <c r="H156" s="2" t="inlineStr">
        <is>
          <t>Sprint 3</t>
        </is>
      </c>
      <c r="I156" s="2" t="inlineStr">
        <is>
          <t>Phát triển UI theo lát cắt và tích hợp dần, không đợi UI hoàn chỉnh hết.</t>
        </is>
      </c>
      <c r="J156" s="2" t="inlineStr">
        <is>
          <t>PH-03</t>
        </is>
      </c>
      <c r="K156" s="2" t="inlineStr">
        <is>
          <t>Core Product Build</t>
        </is>
      </c>
      <c r="L156" s="2" t="inlineStr">
        <is>
          <t>CIN-T-026</t>
        </is>
      </c>
      <c r="M156" s="2" t="inlineStr">
        <is>
          <t>Xây giao diện ghế, thanh toán và tài khoản</t>
        </is>
      </c>
      <c r="N156" s="2" t="inlineStr">
        <is>
          <t>24120271</t>
        </is>
      </c>
      <c r="O156" s="2" t="inlineStr">
        <is>
          <t>Nguyen Trung Chinh</t>
        </is>
      </c>
      <c r="P156" s="2" t="inlineStr">
        <is>
          <t>CIN-SUB-155</t>
        </is>
      </c>
      <c r="Q156" s="2" t="inlineStr">
        <is>
          <t>Sprint 4</t>
        </is>
      </c>
      <c r="R156" s="2" t="inlineStr">
        <is>
          <t>24120235</t>
        </is>
      </c>
      <c r="S156" s="2" t="inlineStr">
        <is>
          <t>Huynh Thanh Tu</t>
        </is>
      </c>
      <c r="T156" s="3" t="n">
        <v>46340</v>
      </c>
      <c r="U156" s="3" t="n">
        <v>46353</v>
      </c>
      <c r="V156" s="2" t="n">
        <v>3</v>
      </c>
      <c r="W156" s="2" t="inlineStr">
        <is>
          <t>High</t>
        </is>
      </c>
      <c r="X156" s="2" t="inlineStr">
        <is>
          <t>Frontend Development</t>
        </is>
      </c>
      <c r="Y156" s="2" t="inlineStr">
        <is>
          <t>CIN-T-025, CIN-T-022, CIN-T-023, CIN-T-024</t>
        </is>
      </c>
      <c r="Z156" s="2" t="inlineStr">
        <is>
          <t>Hoàn tất kết quả gốc: Vé của tôi.</t>
        </is>
      </c>
      <c r="AA156" s="2" t="inlineStr">
        <is>
          <t>Kết quả gốc được kiểm tra và có bằng chứng gắn với CIN-SUB-155; ngoại lệ được ghi rõ.</t>
        </is>
      </c>
      <c r="AB156" s="2" t="inlineStr">
        <is>
          <t>Planned</t>
        </is>
      </c>
      <c r="AC156" s="2" t="inlineStr">
        <is>
          <t>Planned only; no completion evidence was transferred.</t>
        </is>
      </c>
    </row>
    <row r="157">
      <c r="A157" s="2" t="inlineStr">
        <is>
          <t>ORIG-156</t>
        </is>
      </c>
      <c r="B157" s="2" t="n">
        <v>157</v>
      </c>
      <c r="C157" s="2" t="inlineStr">
        <is>
          <t>Customer Web</t>
        </is>
      </c>
      <c r="D157" s="2" t="n"/>
      <c r="E157" s="2" t="inlineStr">
        <is>
          <t>Trang Booking History</t>
        </is>
      </c>
      <c r="F157" s="2" t="inlineStr">
        <is>
          <t>Lịch sử đặt vé</t>
        </is>
      </c>
      <c r="G157" s="2" t="inlineStr">
        <is>
          <t>Bắt buộc</t>
        </is>
      </c>
      <c r="H157" s="2" t="inlineStr">
        <is>
          <t>Sprint 3</t>
        </is>
      </c>
      <c r="I157" s="2" t="inlineStr">
        <is>
          <t>Phát triển UI theo lát cắt và tích hợp dần, không đợi UI hoàn chỉnh hết.</t>
        </is>
      </c>
      <c r="J157" s="2" t="inlineStr">
        <is>
          <t>PH-03</t>
        </is>
      </c>
      <c r="K157" s="2" t="inlineStr">
        <is>
          <t>Core Product Build</t>
        </is>
      </c>
      <c r="L157" s="2" t="inlineStr">
        <is>
          <t>CIN-T-026</t>
        </is>
      </c>
      <c r="M157" s="2" t="inlineStr">
        <is>
          <t>Xây giao diện ghế, thanh toán và tài khoản</t>
        </is>
      </c>
      <c r="N157" s="2" t="inlineStr">
        <is>
          <t>24120271</t>
        </is>
      </c>
      <c r="O157" s="2" t="inlineStr">
        <is>
          <t>Nguyen Trung Chinh</t>
        </is>
      </c>
      <c r="P157" s="2" t="inlineStr">
        <is>
          <t>CIN-SUB-156</t>
        </is>
      </c>
      <c r="Q157" s="2" t="inlineStr">
        <is>
          <t>Sprint 4</t>
        </is>
      </c>
      <c r="R157" s="2" t="inlineStr">
        <is>
          <t>24120271</t>
        </is>
      </c>
      <c r="S157" s="2" t="inlineStr">
        <is>
          <t>Nguyen Trung Chinh</t>
        </is>
      </c>
      <c r="T157" s="3" t="n">
        <v>46340</v>
      </c>
      <c r="U157" s="3" t="n">
        <v>46353</v>
      </c>
      <c r="V157" s="2" t="n">
        <v>3</v>
      </c>
      <c r="W157" s="2" t="inlineStr">
        <is>
          <t>High</t>
        </is>
      </c>
      <c r="X157" s="2" t="inlineStr">
        <is>
          <t>Frontend Development</t>
        </is>
      </c>
      <c r="Y157" s="2" t="inlineStr">
        <is>
          <t>CIN-T-025, CIN-T-022, CIN-T-023, CIN-T-024</t>
        </is>
      </c>
      <c r="Z157" s="2" t="inlineStr">
        <is>
          <t>Hoàn tất kết quả gốc: Lịch sử đặt vé.</t>
        </is>
      </c>
      <c r="AA157" s="2" t="inlineStr">
        <is>
          <t>Kết quả gốc được kiểm tra và có bằng chứng gắn với CIN-SUB-156; ngoại lệ được ghi rõ.</t>
        </is>
      </c>
      <c r="AB157" s="2" t="inlineStr">
        <is>
          <t>Planned</t>
        </is>
      </c>
      <c r="AC157" s="2" t="inlineStr">
        <is>
          <t>Planned only; no completion evidence was transferred.</t>
        </is>
      </c>
    </row>
    <row r="158">
      <c r="A158" s="2" t="inlineStr">
        <is>
          <t>ORIG-157</t>
        </is>
      </c>
      <c r="B158" s="2" t="n">
        <v>158</v>
      </c>
      <c r="C158" s="2" t="inlineStr">
        <is>
          <t>Customer Web</t>
        </is>
      </c>
      <c r="D158" s="2" t="n"/>
      <c r="E158" s="2" t="inlineStr">
        <is>
          <t>Trang Profile</t>
        </is>
      </c>
      <c r="F158" s="2" t="inlineStr">
        <is>
          <t>Thông tin tài khoản</t>
        </is>
      </c>
      <c r="G158" s="2" t="inlineStr">
        <is>
          <t>Bắt buộc</t>
        </is>
      </c>
      <c r="H158" s="2" t="inlineStr">
        <is>
          <t>Sprint 3</t>
        </is>
      </c>
      <c r="I158" s="2" t="inlineStr">
        <is>
          <t>Phát triển UI theo lát cắt và tích hợp dần, không đợi UI hoàn chỉnh hết.</t>
        </is>
      </c>
      <c r="J158" s="2" t="inlineStr">
        <is>
          <t>PH-03</t>
        </is>
      </c>
      <c r="K158" s="2" t="inlineStr">
        <is>
          <t>Core Product Build</t>
        </is>
      </c>
      <c r="L158" s="2" t="inlineStr">
        <is>
          <t>CIN-T-026</t>
        </is>
      </c>
      <c r="M158" s="2" t="inlineStr">
        <is>
          <t>Xây giao diện ghế, thanh toán và tài khoản</t>
        </is>
      </c>
      <c r="N158" s="2" t="inlineStr">
        <is>
          <t>24120271</t>
        </is>
      </c>
      <c r="O158" s="2" t="inlineStr">
        <is>
          <t>Nguyen Trung Chinh</t>
        </is>
      </c>
      <c r="P158" s="2" t="inlineStr">
        <is>
          <t>CIN-SUB-157</t>
        </is>
      </c>
      <c r="Q158" s="2" t="inlineStr">
        <is>
          <t>Sprint 4</t>
        </is>
      </c>
      <c r="R158" s="2" t="inlineStr">
        <is>
          <t>24120244</t>
        </is>
      </c>
      <c r="S158" s="2" t="inlineStr">
        <is>
          <t>Phan Van Viet</t>
        </is>
      </c>
      <c r="T158" s="3" t="n">
        <v>46340</v>
      </c>
      <c r="U158" s="3" t="n">
        <v>46353</v>
      </c>
      <c r="V158" s="2" t="n">
        <v>2</v>
      </c>
      <c r="W158" s="2" t="inlineStr">
        <is>
          <t>High</t>
        </is>
      </c>
      <c r="X158" s="2" t="inlineStr">
        <is>
          <t>Frontend Development</t>
        </is>
      </c>
      <c r="Y158" s="2" t="inlineStr">
        <is>
          <t>CIN-T-025, CIN-T-022, CIN-T-023, CIN-T-024</t>
        </is>
      </c>
      <c r="Z158" s="2" t="inlineStr">
        <is>
          <t>Hoàn tất kết quả gốc: Thông tin tài khoản.</t>
        </is>
      </c>
      <c r="AA158" s="2" t="inlineStr">
        <is>
          <t>Kết quả gốc được kiểm tra và có bằng chứng gắn với CIN-SUB-157; ngoại lệ được ghi rõ.</t>
        </is>
      </c>
      <c r="AB158" s="2" t="inlineStr">
        <is>
          <t>Planned</t>
        </is>
      </c>
      <c r="AC158" s="2" t="inlineStr">
        <is>
          <t>Planned only; no completion evidence was transferred.</t>
        </is>
      </c>
    </row>
    <row r="159">
      <c r="A159" s="2" t="inlineStr">
        <is>
          <t>ORIG-158</t>
        </is>
      </c>
      <c r="B159" s="2" t="n">
        <v>159</v>
      </c>
      <c r="C159" s="2" t="inlineStr">
        <is>
          <t>Frontend – Integration</t>
        </is>
      </c>
      <c r="D159" s="2" t="inlineStr">
        <is>
          <t>FE gọi API thật</t>
        </is>
      </c>
      <c r="E159" s="2" t="inlineStr">
        <is>
          <t>API Client</t>
        </is>
      </c>
      <c r="F159" s="2" t="inlineStr">
        <is>
          <t>Xây dựng lớp gọi Backend API</t>
        </is>
      </c>
      <c r="G159" s="2" t="inlineStr">
        <is>
          <t>Bắt buộc</t>
        </is>
      </c>
      <c r="H159" s="2" t="inlineStr">
        <is>
          <t>Sprint 4</t>
        </is>
      </c>
      <c r="I159" s="2" t="inlineStr">
        <is>
          <t>Tích hợp FE–BE theo tính năng.</t>
        </is>
      </c>
      <c r="J159" s="2" t="inlineStr">
        <is>
          <t>PH-03</t>
        </is>
      </c>
      <c r="K159" s="2" t="inlineStr">
        <is>
          <t>Core Product Build</t>
        </is>
      </c>
      <c r="L159" s="2" t="inlineStr">
        <is>
          <t>CIN-T-027</t>
        </is>
      </c>
      <c r="M159" s="2" t="inlineStr">
        <is>
          <t>Tích hợp frontend với API thật</t>
        </is>
      </c>
      <c r="N159" s="2" t="inlineStr">
        <is>
          <t>24120098</t>
        </is>
      </c>
      <c r="O159" s="2" t="inlineStr">
        <is>
          <t>Nguyen Quoc Nam</t>
        </is>
      </c>
      <c r="P159" s="2" t="inlineStr">
        <is>
          <t>CIN-SUB-158</t>
        </is>
      </c>
      <c r="Q159" s="2" t="inlineStr">
        <is>
          <t>Sprint 4</t>
        </is>
      </c>
      <c r="R159" s="2" t="inlineStr">
        <is>
          <t>24120098</t>
        </is>
      </c>
      <c r="S159" s="2" t="inlineStr">
        <is>
          <t>Nguyen Quoc Nam</t>
        </is>
      </c>
      <c r="T159" s="3" t="n">
        <v>46340</v>
      </c>
      <c r="U159" s="3" t="n">
        <v>46353</v>
      </c>
      <c r="V159" s="2" t="n">
        <v>3</v>
      </c>
      <c r="W159" s="2" t="inlineStr">
        <is>
          <t>High</t>
        </is>
      </c>
      <c r="X159" s="2" t="inlineStr">
        <is>
          <t>Integration</t>
        </is>
      </c>
      <c r="Y159" s="2" t="inlineStr">
        <is>
          <t>CIN-T-026, CIN-T-016, CIN-T-019</t>
        </is>
      </c>
      <c r="Z159" s="2" t="inlineStr">
        <is>
          <t>Hoàn tất kết quả gốc: Xây dựng lớp gọi Backend API.</t>
        </is>
      </c>
      <c r="AA159" s="2" t="inlineStr">
        <is>
          <t>Kết quả gốc được kiểm tra và có bằng chứng gắn với CIN-SUB-158; ngoại lệ được ghi rõ.</t>
        </is>
      </c>
      <c r="AB159" s="2" t="inlineStr">
        <is>
          <t>Planned</t>
        </is>
      </c>
      <c r="AC159" s="2" t="inlineStr">
        <is>
          <t>Planned only; no completion evidence was transferred.</t>
        </is>
      </c>
    </row>
    <row r="160">
      <c r="A160" s="2" t="inlineStr">
        <is>
          <t>ORIG-159</t>
        </is>
      </c>
      <c r="B160" s="2" t="n">
        <v>160</v>
      </c>
      <c r="C160" s="2" t="inlineStr">
        <is>
          <t>Frontend – Integration</t>
        </is>
      </c>
      <c r="D160" s="2" t="n"/>
      <c r="E160" s="2" t="inlineStr">
        <is>
          <t>Authentication Integration</t>
        </is>
      </c>
      <c r="F160" s="2" t="inlineStr">
        <is>
          <t>Lưu và gửi authentication token</t>
        </is>
      </c>
      <c r="G160" s="2" t="inlineStr">
        <is>
          <t>Bắt buộc</t>
        </is>
      </c>
      <c r="H160" s="2" t="inlineStr">
        <is>
          <t>Sprint 4</t>
        </is>
      </c>
      <c r="I160" s="2" t="inlineStr">
        <is>
          <t>Tích hợp FE–BE theo tính năng.</t>
        </is>
      </c>
      <c r="J160" s="2" t="inlineStr">
        <is>
          <t>PH-03</t>
        </is>
      </c>
      <c r="K160" s="2" t="inlineStr">
        <is>
          <t>Core Product Build</t>
        </is>
      </c>
      <c r="L160" s="2" t="inlineStr">
        <is>
          <t>CIN-T-027</t>
        </is>
      </c>
      <c r="M160" s="2" t="inlineStr">
        <is>
          <t>Tích hợp frontend với API thật</t>
        </is>
      </c>
      <c r="N160" s="2" t="inlineStr">
        <is>
          <t>24120098</t>
        </is>
      </c>
      <c r="O160" s="2" t="inlineStr">
        <is>
          <t>Nguyen Quoc Nam</t>
        </is>
      </c>
      <c r="P160" s="2" t="inlineStr">
        <is>
          <t>CIN-SUB-159</t>
        </is>
      </c>
      <c r="Q160" s="2" t="inlineStr">
        <is>
          <t>Sprint 4</t>
        </is>
      </c>
      <c r="R160" s="2" t="inlineStr">
        <is>
          <t>24120255</t>
        </is>
      </c>
      <c r="S160" s="2" t="inlineStr">
        <is>
          <t>Tran Thien An</t>
        </is>
      </c>
      <c r="T160" s="3" t="n">
        <v>46340</v>
      </c>
      <c r="U160" s="3" t="n">
        <v>46353</v>
      </c>
      <c r="V160" s="2" t="n">
        <v>3</v>
      </c>
      <c r="W160" s="2" t="inlineStr">
        <is>
          <t>High</t>
        </is>
      </c>
      <c r="X160" s="2" t="inlineStr">
        <is>
          <t>Integration</t>
        </is>
      </c>
      <c r="Y160" s="2" t="inlineStr">
        <is>
          <t>CIN-T-026, CIN-T-016, CIN-T-019</t>
        </is>
      </c>
      <c r="Z160" s="2" t="inlineStr">
        <is>
          <t>Hoàn tất kết quả gốc: Lưu và gửi authentication token.</t>
        </is>
      </c>
      <c r="AA160" s="2" t="inlineStr">
        <is>
          <t>Kết quả gốc được kiểm tra và có bằng chứng gắn với CIN-SUB-159; ngoại lệ được ghi rõ.</t>
        </is>
      </c>
      <c r="AB160" s="2" t="inlineStr">
        <is>
          <t>Planned</t>
        </is>
      </c>
      <c r="AC160" s="2" t="inlineStr">
        <is>
          <t>Planned only; no completion evidence was transferred.</t>
        </is>
      </c>
    </row>
    <row r="161">
      <c r="A161" s="2" t="inlineStr">
        <is>
          <t>ORIG-160</t>
        </is>
      </c>
      <c r="B161" s="2" t="n">
        <v>161</v>
      </c>
      <c r="C161" s="2" t="inlineStr">
        <is>
          <t>Frontend – Integration</t>
        </is>
      </c>
      <c r="D161" s="2" t="n"/>
      <c r="E161" s="2" t="inlineStr">
        <is>
          <t>Loading State</t>
        </is>
      </c>
      <c r="F161" s="2" t="inlineStr">
        <is>
          <t>Xử lý trạng thái đang tải</t>
        </is>
      </c>
      <c r="G161" s="2" t="inlineStr">
        <is>
          <t>Bắt buộc</t>
        </is>
      </c>
      <c r="H161" s="2" t="inlineStr">
        <is>
          <t>Sprint 4</t>
        </is>
      </c>
      <c r="I161" s="2" t="inlineStr">
        <is>
          <t>Tích hợp FE–BE theo tính năng.</t>
        </is>
      </c>
      <c r="J161" s="2" t="inlineStr">
        <is>
          <t>PH-03</t>
        </is>
      </c>
      <c r="K161" s="2" t="inlineStr">
        <is>
          <t>Core Product Build</t>
        </is>
      </c>
      <c r="L161" s="2" t="inlineStr">
        <is>
          <t>CIN-T-027</t>
        </is>
      </c>
      <c r="M161" s="2" t="inlineStr">
        <is>
          <t>Tích hợp frontend với API thật</t>
        </is>
      </c>
      <c r="N161" s="2" t="inlineStr">
        <is>
          <t>24120098</t>
        </is>
      </c>
      <c r="O161" s="2" t="inlineStr">
        <is>
          <t>Nguyen Quoc Nam</t>
        </is>
      </c>
      <c r="P161" s="2" t="inlineStr">
        <is>
          <t>CIN-SUB-160</t>
        </is>
      </c>
      <c r="Q161" s="2" t="inlineStr">
        <is>
          <t>Sprint 4</t>
        </is>
      </c>
      <c r="R161" s="2" t="inlineStr">
        <is>
          <t>24120235</t>
        </is>
      </c>
      <c r="S161" s="2" t="inlineStr">
        <is>
          <t>Huynh Thanh Tu</t>
        </is>
      </c>
      <c r="T161" s="3" t="n">
        <v>46340</v>
      </c>
      <c r="U161" s="3" t="n">
        <v>46353</v>
      </c>
      <c r="V161" s="2" t="n">
        <v>2</v>
      </c>
      <c r="W161" s="2" t="inlineStr">
        <is>
          <t>High</t>
        </is>
      </c>
      <c r="X161" s="2" t="inlineStr">
        <is>
          <t>Integration</t>
        </is>
      </c>
      <c r="Y161" s="2" t="inlineStr">
        <is>
          <t>CIN-T-026, CIN-T-016, CIN-T-019</t>
        </is>
      </c>
      <c r="Z161" s="2" t="inlineStr">
        <is>
          <t>Hoàn tất kết quả gốc: Xử lý trạng thái đang tải.</t>
        </is>
      </c>
      <c r="AA161" s="2" t="inlineStr">
        <is>
          <t>Kết quả gốc được kiểm tra và có bằng chứng gắn với CIN-SUB-160; ngoại lệ được ghi rõ.</t>
        </is>
      </c>
      <c r="AB161" s="2" t="inlineStr">
        <is>
          <t>Planned</t>
        </is>
      </c>
      <c r="AC161" s="2" t="inlineStr">
        <is>
          <t>Planned only; no completion evidence was transferred.</t>
        </is>
      </c>
    </row>
    <row r="162">
      <c r="A162" s="2" t="inlineStr">
        <is>
          <t>ORIG-161</t>
        </is>
      </c>
      <c r="B162" s="2" t="n">
        <v>162</v>
      </c>
      <c r="C162" s="2" t="inlineStr">
        <is>
          <t>Frontend – Integration</t>
        </is>
      </c>
      <c r="D162" s="2" t="n"/>
      <c r="E162" s="2" t="inlineStr">
        <is>
          <t>Error State</t>
        </is>
      </c>
      <c r="F162" s="2" t="inlineStr">
        <is>
          <t>Hiển thị lỗi API</t>
        </is>
      </c>
      <c r="G162" s="2" t="inlineStr">
        <is>
          <t>Bắt buộc</t>
        </is>
      </c>
      <c r="H162" s="2" t="inlineStr">
        <is>
          <t>Sprint 4</t>
        </is>
      </c>
      <c r="I162" s="2" t="inlineStr">
        <is>
          <t>Tích hợp FE–BE theo tính năng.</t>
        </is>
      </c>
      <c r="J162" s="2" t="inlineStr">
        <is>
          <t>PH-03</t>
        </is>
      </c>
      <c r="K162" s="2" t="inlineStr">
        <is>
          <t>Core Product Build</t>
        </is>
      </c>
      <c r="L162" s="2" t="inlineStr">
        <is>
          <t>CIN-T-027</t>
        </is>
      </c>
      <c r="M162" s="2" t="inlineStr">
        <is>
          <t>Tích hợp frontend với API thật</t>
        </is>
      </c>
      <c r="N162" s="2" t="inlineStr">
        <is>
          <t>24120098</t>
        </is>
      </c>
      <c r="O162" s="2" t="inlineStr">
        <is>
          <t>Nguyen Quoc Nam</t>
        </is>
      </c>
      <c r="P162" s="2" t="inlineStr">
        <is>
          <t>CIN-SUB-161</t>
        </is>
      </c>
      <c r="Q162" s="2" t="inlineStr">
        <is>
          <t>Sprint 4</t>
        </is>
      </c>
      <c r="R162" s="2" t="inlineStr">
        <is>
          <t>24120244</t>
        </is>
      </c>
      <c r="S162" s="2" t="inlineStr">
        <is>
          <t>Phan Van Viet</t>
        </is>
      </c>
      <c r="T162" s="3" t="n">
        <v>46340</v>
      </c>
      <c r="U162" s="3" t="n">
        <v>46353</v>
      </c>
      <c r="V162" s="2" t="n">
        <v>3</v>
      </c>
      <c r="W162" s="2" t="inlineStr">
        <is>
          <t>High</t>
        </is>
      </c>
      <c r="X162" s="2" t="inlineStr">
        <is>
          <t>Integration</t>
        </is>
      </c>
      <c r="Y162" s="2" t="inlineStr">
        <is>
          <t>CIN-T-026, CIN-T-016, CIN-T-019</t>
        </is>
      </c>
      <c r="Z162" s="2" t="inlineStr">
        <is>
          <t>Hoàn tất kết quả gốc: Hiển thị lỗi API.</t>
        </is>
      </c>
      <c r="AA162" s="2" t="inlineStr">
        <is>
          <t>Kết quả gốc được kiểm tra và có bằng chứng gắn với CIN-SUB-161; ngoại lệ được ghi rõ.</t>
        </is>
      </c>
      <c r="AB162" s="2" t="inlineStr">
        <is>
          <t>Planned</t>
        </is>
      </c>
      <c r="AC162" s="2" t="inlineStr">
        <is>
          <t>Planned only; no completion evidence was transferred.</t>
        </is>
      </c>
    </row>
    <row r="163">
      <c r="A163" s="2" t="inlineStr">
        <is>
          <t>ORIG-162</t>
        </is>
      </c>
      <c r="B163" s="2" t="n">
        <v>163</v>
      </c>
      <c r="C163" s="2" t="inlineStr">
        <is>
          <t>Frontend – Integration</t>
        </is>
      </c>
      <c r="D163" s="2" t="n"/>
      <c r="E163" s="2" t="inlineStr">
        <is>
          <t>Form Validation</t>
        </is>
      </c>
      <c r="F163" s="2" t="inlineStr">
        <is>
          <t>Validation phía Frontend</t>
        </is>
      </c>
      <c r="G163" s="2" t="inlineStr">
        <is>
          <t>Bắt buộc</t>
        </is>
      </c>
      <c r="H163" s="2" t="inlineStr">
        <is>
          <t>Sprint 4</t>
        </is>
      </c>
      <c r="I163" s="2" t="inlineStr">
        <is>
          <t>Tích hợp FE–BE theo tính năng.</t>
        </is>
      </c>
      <c r="J163" s="2" t="inlineStr">
        <is>
          <t>PH-03</t>
        </is>
      </c>
      <c r="K163" s="2" t="inlineStr">
        <is>
          <t>Core Product Build</t>
        </is>
      </c>
      <c r="L163" s="2" t="inlineStr">
        <is>
          <t>CIN-T-027</t>
        </is>
      </c>
      <c r="M163" s="2" t="inlineStr">
        <is>
          <t>Tích hợp frontend với API thật</t>
        </is>
      </c>
      <c r="N163" s="2" t="inlineStr">
        <is>
          <t>24120098</t>
        </is>
      </c>
      <c r="O163" s="2" t="inlineStr">
        <is>
          <t>Nguyen Quoc Nam</t>
        </is>
      </c>
      <c r="P163" s="2" t="inlineStr">
        <is>
          <t>CIN-SUB-162</t>
        </is>
      </c>
      <c r="Q163" s="2" t="inlineStr">
        <is>
          <t>Sprint 4</t>
        </is>
      </c>
      <c r="R163" s="2" t="inlineStr">
        <is>
          <t>24120271</t>
        </is>
      </c>
      <c r="S163" s="2" t="inlineStr">
        <is>
          <t>Nguyen Trung Chinh</t>
        </is>
      </c>
      <c r="T163" s="3" t="n">
        <v>46340</v>
      </c>
      <c r="U163" s="3" t="n">
        <v>46353</v>
      </c>
      <c r="V163" s="2" t="n">
        <v>3</v>
      </c>
      <c r="W163" s="2" t="inlineStr">
        <is>
          <t>High</t>
        </is>
      </c>
      <c r="X163" s="2" t="inlineStr">
        <is>
          <t>Integration</t>
        </is>
      </c>
      <c r="Y163" s="2" t="inlineStr">
        <is>
          <t>CIN-T-026, CIN-T-016, CIN-T-019</t>
        </is>
      </c>
      <c r="Z163" s="2" t="inlineStr">
        <is>
          <t>Hoàn tất kết quả gốc: Validation phía Frontend.</t>
        </is>
      </c>
      <c r="AA163" s="2" t="inlineStr">
        <is>
          <t>Kết quả gốc được kiểm tra và có bằng chứng gắn với CIN-SUB-162; ngoại lệ được ghi rõ.</t>
        </is>
      </c>
      <c r="AB163" s="2" t="inlineStr">
        <is>
          <t>Planned</t>
        </is>
      </c>
      <c r="AC163" s="2" t="inlineStr">
        <is>
          <t>Planned only; no completion evidence was transferred.</t>
        </is>
      </c>
    </row>
    <row r="164">
      <c r="A164" s="2" t="inlineStr">
        <is>
          <t>ORIG-163</t>
        </is>
      </c>
      <c r="B164" s="2" t="n">
        <v>164</v>
      </c>
      <c r="C164" s="2" t="inlineStr">
        <is>
          <t>Frontend – Integration</t>
        </is>
      </c>
      <c r="D164" s="2" t="n"/>
      <c r="E164" s="2" t="inlineStr">
        <is>
          <t>API Validation</t>
        </is>
      </c>
      <c r="F164" s="2" t="inlineStr">
        <is>
          <t>Xử lý lỗi validation từ Backend</t>
        </is>
      </c>
      <c r="G164" s="2" t="inlineStr">
        <is>
          <t>Bắt buộc</t>
        </is>
      </c>
      <c r="H164" s="2" t="inlineStr">
        <is>
          <t>Sprint 4</t>
        </is>
      </c>
      <c r="I164" s="2" t="inlineStr">
        <is>
          <t>Tích hợp FE–BE theo tính năng.</t>
        </is>
      </c>
      <c r="J164" s="2" t="inlineStr">
        <is>
          <t>PH-03</t>
        </is>
      </c>
      <c r="K164" s="2" t="inlineStr">
        <is>
          <t>Core Product Build</t>
        </is>
      </c>
      <c r="L164" s="2" t="inlineStr">
        <is>
          <t>CIN-T-027</t>
        </is>
      </c>
      <c r="M164" s="2" t="inlineStr">
        <is>
          <t>Tích hợp frontend với API thật</t>
        </is>
      </c>
      <c r="N164" s="2" t="inlineStr">
        <is>
          <t>24120098</t>
        </is>
      </c>
      <c r="O164" s="2" t="inlineStr">
        <is>
          <t>Nguyen Quoc Nam</t>
        </is>
      </c>
      <c r="P164" s="2" t="inlineStr">
        <is>
          <t>CIN-SUB-163</t>
        </is>
      </c>
      <c r="Q164" s="2" t="inlineStr">
        <is>
          <t>Sprint 4</t>
        </is>
      </c>
      <c r="R164" s="2" t="inlineStr">
        <is>
          <t>24120235</t>
        </is>
      </c>
      <c r="S164" s="2" t="inlineStr">
        <is>
          <t>Huynh Thanh Tu</t>
        </is>
      </c>
      <c r="T164" s="3" t="n">
        <v>46340</v>
      </c>
      <c r="U164" s="3" t="n">
        <v>46353</v>
      </c>
      <c r="V164" s="2" t="n">
        <v>3</v>
      </c>
      <c r="W164" s="2" t="inlineStr">
        <is>
          <t>High</t>
        </is>
      </c>
      <c r="X164" s="2" t="inlineStr">
        <is>
          <t>Integration</t>
        </is>
      </c>
      <c r="Y164" s="2" t="inlineStr">
        <is>
          <t>CIN-T-026, CIN-T-016, CIN-T-019</t>
        </is>
      </c>
      <c r="Z164" s="2" t="inlineStr">
        <is>
          <t>Hoàn tất kết quả gốc: Xử lý lỗi validation từ Backend.</t>
        </is>
      </c>
      <c r="AA164" s="2" t="inlineStr">
        <is>
          <t>Kết quả gốc được kiểm tra và có bằng chứng gắn với CIN-SUB-163; ngoại lệ được ghi rõ.</t>
        </is>
      </c>
      <c r="AB164" s="2" t="inlineStr">
        <is>
          <t>Planned</t>
        </is>
      </c>
      <c r="AC164" s="2" t="inlineStr">
        <is>
          <t>Planned only; no completion evidence was transferred.</t>
        </is>
      </c>
    </row>
    <row r="165">
      <c r="A165" s="2" t="inlineStr">
        <is>
          <t>ORIG-164</t>
        </is>
      </c>
      <c r="B165" s="2" t="n">
        <v>165</v>
      </c>
      <c r="C165" s="2" t="inlineStr">
        <is>
          <t>Frontend – Integration</t>
        </is>
      </c>
      <c r="D165" s="2" t="n"/>
      <c r="E165" s="2" t="inlineStr">
        <is>
          <t>Responsive Design</t>
        </is>
      </c>
      <c r="F165" s="2" t="inlineStr">
        <is>
          <t>Desktop / Tablet / Mobile</t>
        </is>
      </c>
      <c r="G165" s="2" t="inlineStr">
        <is>
          <t>Bắt buộc</t>
        </is>
      </c>
      <c r="H165" s="2" t="inlineStr">
        <is>
          <t>Sprint 4</t>
        </is>
      </c>
      <c r="I165" s="2" t="inlineStr">
        <is>
          <t>Tích hợp FE–BE theo tính năng.</t>
        </is>
      </c>
      <c r="J165" s="2" t="inlineStr">
        <is>
          <t>PH-03</t>
        </is>
      </c>
      <c r="K165" s="2" t="inlineStr">
        <is>
          <t>Core Product Build</t>
        </is>
      </c>
      <c r="L165" s="2" t="inlineStr">
        <is>
          <t>CIN-T-027</t>
        </is>
      </c>
      <c r="M165" s="2" t="inlineStr">
        <is>
          <t>Tích hợp frontend với API thật</t>
        </is>
      </c>
      <c r="N165" s="2" t="inlineStr">
        <is>
          <t>24120098</t>
        </is>
      </c>
      <c r="O165" s="2" t="inlineStr">
        <is>
          <t>Nguyen Quoc Nam</t>
        </is>
      </c>
      <c r="P165" s="2" t="inlineStr">
        <is>
          <t>CIN-SUB-164</t>
        </is>
      </c>
      <c r="Q165" s="2" t="inlineStr">
        <is>
          <t>Sprint 4</t>
        </is>
      </c>
      <c r="R165" s="2" t="inlineStr">
        <is>
          <t>24120098</t>
        </is>
      </c>
      <c r="S165" s="2" t="inlineStr">
        <is>
          <t>Nguyen Quoc Nam</t>
        </is>
      </c>
      <c r="T165" s="3" t="n">
        <v>46340</v>
      </c>
      <c r="U165" s="3" t="n">
        <v>46353</v>
      </c>
      <c r="V165" s="2" t="n">
        <v>3</v>
      </c>
      <c r="W165" s="2" t="inlineStr">
        <is>
          <t>High</t>
        </is>
      </c>
      <c r="X165" s="2" t="inlineStr">
        <is>
          <t>Integration</t>
        </is>
      </c>
      <c r="Y165" s="2" t="inlineStr">
        <is>
          <t>CIN-T-026, CIN-T-016, CIN-T-019</t>
        </is>
      </c>
      <c r="Z165" s="2" t="inlineStr">
        <is>
          <t>Hoàn tất kết quả gốc: Desktop / Tablet / Mobile.</t>
        </is>
      </c>
      <c r="AA165" s="2" t="inlineStr">
        <is>
          <t>Kết quả gốc được kiểm tra và có bằng chứng gắn với CIN-SUB-164; ngoại lệ được ghi rõ.</t>
        </is>
      </c>
      <c r="AB165" s="2" t="inlineStr">
        <is>
          <t>Planned</t>
        </is>
      </c>
      <c r="AC165" s="2" t="inlineStr">
        <is>
          <t>Planned only; no completion evidence was transferred.</t>
        </is>
      </c>
    </row>
    <row r="166">
      <c r="A166" s="2" t="inlineStr">
        <is>
          <t>ORIG-165</t>
        </is>
      </c>
      <c r="B166" s="2" t="n">
        <v>166</v>
      </c>
      <c r="C166" s="2" t="inlineStr">
        <is>
          <t>Frontend – Integration</t>
        </is>
      </c>
      <c r="D166" s="2" t="n"/>
      <c r="E166" s="2" t="inlineStr">
        <is>
          <t>Frontend–Backend Integration</t>
        </is>
      </c>
      <c r="F166" s="2" t="inlineStr">
        <is>
          <t>Kết nối toàn bộ UI với API</t>
        </is>
      </c>
      <c r="G166" s="2" t="inlineStr">
        <is>
          <t>Bắt buộc</t>
        </is>
      </c>
      <c r="H166" s="2" t="inlineStr">
        <is>
          <t>Sprint 4</t>
        </is>
      </c>
      <c r="I166" s="2" t="inlineStr">
        <is>
          <t>Tích hợp FE–BE theo tính năng.</t>
        </is>
      </c>
      <c r="J166" s="2" t="inlineStr">
        <is>
          <t>PH-03</t>
        </is>
      </c>
      <c r="K166" s="2" t="inlineStr">
        <is>
          <t>Core Product Build</t>
        </is>
      </c>
      <c r="L166" s="2" t="inlineStr">
        <is>
          <t>CIN-T-027</t>
        </is>
      </c>
      <c r="M166" s="2" t="inlineStr">
        <is>
          <t>Tích hợp frontend với API thật</t>
        </is>
      </c>
      <c r="N166" s="2" t="inlineStr">
        <is>
          <t>24120098</t>
        </is>
      </c>
      <c r="O166" s="2" t="inlineStr">
        <is>
          <t>Nguyen Quoc Nam</t>
        </is>
      </c>
      <c r="P166" s="2" t="inlineStr">
        <is>
          <t>CIN-SUB-165</t>
        </is>
      </c>
      <c r="Q166" s="2" t="inlineStr">
        <is>
          <t>Sprint 4</t>
        </is>
      </c>
      <c r="R166" s="2" t="inlineStr">
        <is>
          <t>24120255</t>
        </is>
      </c>
      <c r="S166" s="2" t="inlineStr">
        <is>
          <t>Tran Thien An</t>
        </is>
      </c>
      <c r="T166" s="3" t="n">
        <v>46340</v>
      </c>
      <c r="U166" s="3" t="n">
        <v>46353</v>
      </c>
      <c r="V166" s="2" t="n">
        <v>3</v>
      </c>
      <c r="W166" s="2" t="inlineStr">
        <is>
          <t>High</t>
        </is>
      </c>
      <c r="X166" s="2" t="inlineStr">
        <is>
          <t>Integration</t>
        </is>
      </c>
      <c r="Y166" s="2" t="inlineStr">
        <is>
          <t>CIN-T-026, CIN-T-016, CIN-T-019</t>
        </is>
      </c>
      <c r="Z166" s="2" t="inlineStr">
        <is>
          <t>Hoàn tất kết quả gốc: Kết nối toàn bộ UI với API.</t>
        </is>
      </c>
      <c r="AA166" s="2" t="inlineStr">
        <is>
          <t>Kết quả gốc được kiểm tra và có bằng chứng gắn với CIN-SUB-165; ngoại lệ được ghi rõ.</t>
        </is>
      </c>
      <c r="AB166" s="2" t="inlineStr">
        <is>
          <t>Planned</t>
        </is>
      </c>
      <c r="AC166" s="2" t="inlineStr">
        <is>
          <t>Planned only; no completion evidence was transferred.</t>
        </is>
      </c>
    </row>
    <row r="167">
      <c r="A167" s="2" t="inlineStr">
        <is>
          <t>ORIG-166</t>
        </is>
      </c>
      <c r="B167" s="2" t="n">
        <v>167</v>
      </c>
      <c r="C167" s="2" t="inlineStr">
        <is>
          <t>Admin / Staff Web</t>
        </is>
      </c>
      <c r="D167" s="2" t="inlineStr">
        <is>
          <t>Web quản trị</t>
        </is>
      </c>
      <c r="E167" s="2" t="inlineStr">
        <is>
          <t>Admin Layout</t>
        </is>
      </c>
      <c r="F167" s="2" t="inlineStr">
        <is>
          <t>Layout quản trị</t>
        </is>
      </c>
      <c r="G167" s="2" t="inlineStr">
        <is>
          <t>Cần thiết để hỗ trợ chức năng chính</t>
        </is>
      </c>
      <c r="H167" s="2" t="inlineStr">
        <is>
          <t>Sprint 5</t>
        </is>
      </c>
      <c r="I167" s="2" t="inlineStr">
        <is>
          <t>Ưu tiên màn hình tối thiểu phục vụ quản lý và demo.</t>
        </is>
      </c>
      <c r="J167" s="2" t="inlineStr">
        <is>
          <t>PH-04</t>
        </is>
      </c>
      <c r="K167" s="2" t="inlineStr">
        <is>
          <t>Release, Verification &amp; Handover</t>
        </is>
      </c>
      <c r="L167" s="2" t="inlineStr">
        <is>
          <t>CIN-T-028</t>
        </is>
      </c>
      <c r="M167" s="2" t="inlineStr">
        <is>
          <t>Xây giao diện quản trị và nhân viên tối thiểu</t>
        </is>
      </c>
      <c r="N167" s="2" t="inlineStr">
        <is>
          <t>24120244</t>
        </is>
      </c>
      <c r="O167" s="2" t="inlineStr">
        <is>
          <t>Phan Van Viet</t>
        </is>
      </c>
      <c r="P167" s="2" t="inlineStr">
        <is>
          <t>CIN-SUB-166</t>
        </is>
      </c>
      <c r="Q167" s="2" t="inlineStr">
        <is>
          <t>Sprint 5</t>
        </is>
      </c>
      <c r="R167" s="2" t="inlineStr">
        <is>
          <t>24120244</t>
        </is>
      </c>
      <c r="S167" s="2" t="inlineStr">
        <is>
          <t>Phan Van Viet</t>
        </is>
      </c>
      <c r="T167" s="3" t="n">
        <v>46354</v>
      </c>
      <c r="U167" s="3" t="n">
        <v>46368</v>
      </c>
      <c r="V167" s="2" t="n">
        <v>2</v>
      </c>
      <c r="W167" s="2" t="inlineStr">
        <is>
          <t>Medium</t>
        </is>
      </c>
      <c r="X167" s="2" t="inlineStr">
        <is>
          <t>Frontend Development</t>
        </is>
      </c>
      <c r="Y167" s="2" t="inlineStr">
        <is>
          <t>CIN-T-019, CIN-T-020, CIN-T-021, CIN-T-017</t>
        </is>
      </c>
      <c r="Z167" s="2" t="inlineStr">
        <is>
          <t>Hoàn tất kết quả gốc: Layout quản trị.</t>
        </is>
      </c>
      <c r="AA167" s="2" t="inlineStr">
        <is>
          <t>Kết quả gốc được kiểm tra và có bằng chứng gắn với CIN-SUB-166; ngoại lệ được ghi rõ.</t>
        </is>
      </c>
      <c r="AB167" s="2" t="inlineStr">
        <is>
          <t>Planned</t>
        </is>
      </c>
      <c r="AC167" s="2" t="inlineStr">
        <is>
          <t>Planned only; no completion evidence was transferred.</t>
        </is>
      </c>
    </row>
    <row r="168">
      <c r="A168" s="2" t="inlineStr">
        <is>
          <t>ORIG-167</t>
        </is>
      </c>
      <c r="B168" s="2" t="n">
        <v>168</v>
      </c>
      <c r="C168" s="2" t="inlineStr">
        <is>
          <t>Admin / Staff Web</t>
        </is>
      </c>
      <c r="D168" s="2" t="n"/>
      <c r="E168" s="2" t="inlineStr">
        <is>
          <t>Dashboard</t>
        </is>
      </c>
      <c r="F168" s="2" t="inlineStr">
        <is>
          <t>Tổng quan hệ thống</t>
        </is>
      </c>
      <c r="G168" s="2" t="inlineStr">
        <is>
          <t>Cần thiết để hỗ trợ chức năng chính</t>
        </is>
      </c>
      <c r="H168" s="2" t="inlineStr">
        <is>
          <t>Sprint 5</t>
        </is>
      </c>
      <c r="I168" s="2" t="inlineStr">
        <is>
          <t>Ưu tiên màn hình tối thiểu phục vụ quản lý và demo.</t>
        </is>
      </c>
      <c r="J168" s="2" t="inlineStr">
        <is>
          <t>PH-04</t>
        </is>
      </c>
      <c r="K168" s="2" t="inlineStr">
        <is>
          <t>Release, Verification &amp; Handover</t>
        </is>
      </c>
      <c r="L168" s="2" t="inlineStr">
        <is>
          <t>CIN-T-028</t>
        </is>
      </c>
      <c r="M168" s="2" t="inlineStr">
        <is>
          <t>Xây giao diện quản trị và nhân viên tối thiểu</t>
        </is>
      </c>
      <c r="N168" s="2" t="inlineStr">
        <is>
          <t>24120244</t>
        </is>
      </c>
      <c r="O168" s="2" t="inlineStr">
        <is>
          <t>Phan Van Viet</t>
        </is>
      </c>
      <c r="P168" s="2" t="inlineStr">
        <is>
          <t>CIN-SUB-167</t>
        </is>
      </c>
      <c r="Q168" s="2" t="inlineStr">
        <is>
          <t>Sprint 5</t>
        </is>
      </c>
      <c r="R168" s="2" t="inlineStr">
        <is>
          <t>24120271</t>
        </is>
      </c>
      <c r="S168" s="2" t="inlineStr">
        <is>
          <t>Nguyen Trung Chinh</t>
        </is>
      </c>
      <c r="T168" s="3" t="n">
        <v>46354</v>
      </c>
      <c r="U168" s="3" t="n">
        <v>46368</v>
      </c>
      <c r="V168" s="2" t="n">
        <v>2</v>
      </c>
      <c r="W168" s="2" t="inlineStr">
        <is>
          <t>Medium</t>
        </is>
      </c>
      <c r="X168" s="2" t="inlineStr">
        <is>
          <t>Frontend Development</t>
        </is>
      </c>
      <c r="Y168" s="2" t="inlineStr">
        <is>
          <t>CIN-T-019, CIN-T-020, CIN-T-021, CIN-T-017</t>
        </is>
      </c>
      <c r="Z168" s="2" t="inlineStr">
        <is>
          <t>Hoàn tất kết quả gốc: Tổng quan hệ thống.</t>
        </is>
      </c>
      <c r="AA168" s="2" t="inlineStr">
        <is>
          <t>Kết quả gốc được kiểm tra và có bằng chứng gắn với CIN-SUB-167; ngoại lệ được ghi rõ.</t>
        </is>
      </c>
      <c r="AB168" s="2" t="inlineStr">
        <is>
          <t>Planned</t>
        </is>
      </c>
      <c r="AC168" s="2" t="inlineStr">
        <is>
          <t>Planned only; no completion evidence was transferred.</t>
        </is>
      </c>
    </row>
    <row r="169">
      <c r="A169" s="2" t="inlineStr">
        <is>
          <t>ORIG-168</t>
        </is>
      </c>
      <c r="B169" s="2" t="n">
        <v>169</v>
      </c>
      <c r="C169" s="2" t="inlineStr">
        <is>
          <t>Admin / Staff Web</t>
        </is>
      </c>
      <c r="D169" s="2" t="n"/>
      <c r="E169" s="2" t="inlineStr">
        <is>
          <t>Quản lý Movie</t>
        </is>
      </c>
      <c r="F169" s="2" t="inlineStr">
        <is>
          <t>CRUD Movie / Genre</t>
        </is>
      </c>
      <c r="G169" s="2" t="inlineStr">
        <is>
          <t>Cần thiết để hỗ trợ chức năng chính</t>
        </is>
      </c>
      <c r="H169" s="2" t="inlineStr">
        <is>
          <t>Sprint 5</t>
        </is>
      </c>
      <c r="I169" s="2" t="inlineStr">
        <is>
          <t>Ưu tiên màn hình tối thiểu phục vụ quản lý và demo.</t>
        </is>
      </c>
      <c r="J169" s="2" t="inlineStr">
        <is>
          <t>PH-04</t>
        </is>
      </c>
      <c r="K169" s="2" t="inlineStr">
        <is>
          <t>Release, Verification &amp; Handover</t>
        </is>
      </c>
      <c r="L169" s="2" t="inlineStr">
        <is>
          <t>CIN-T-028</t>
        </is>
      </c>
      <c r="M169" s="2" t="inlineStr">
        <is>
          <t>Xây giao diện quản trị và nhân viên tối thiểu</t>
        </is>
      </c>
      <c r="N169" s="2" t="inlineStr">
        <is>
          <t>24120244</t>
        </is>
      </c>
      <c r="O169" s="2" t="inlineStr">
        <is>
          <t>Phan Van Viet</t>
        </is>
      </c>
      <c r="P169" s="2" t="inlineStr">
        <is>
          <t>CIN-SUB-168</t>
        </is>
      </c>
      <c r="Q169" s="2" t="inlineStr">
        <is>
          <t>Sprint 5</t>
        </is>
      </c>
      <c r="R169" s="2" t="inlineStr">
        <is>
          <t>24120235</t>
        </is>
      </c>
      <c r="S169" s="2" t="inlineStr">
        <is>
          <t>Huynh Thanh Tu</t>
        </is>
      </c>
      <c r="T169" s="3" t="n">
        <v>46354</v>
      </c>
      <c r="U169" s="3" t="n">
        <v>46368</v>
      </c>
      <c r="V169" s="2" t="n">
        <v>2</v>
      </c>
      <c r="W169" s="2" t="inlineStr">
        <is>
          <t>Medium</t>
        </is>
      </c>
      <c r="X169" s="2" t="inlineStr">
        <is>
          <t>Frontend Development</t>
        </is>
      </c>
      <c r="Y169" s="2" t="inlineStr">
        <is>
          <t>CIN-T-019, CIN-T-020, CIN-T-021, CIN-T-017</t>
        </is>
      </c>
      <c r="Z169" s="2" t="inlineStr">
        <is>
          <t>Hoàn tất kết quả gốc: CRUD Movie / Genre.</t>
        </is>
      </c>
      <c r="AA169" s="2" t="inlineStr">
        <is>
          <t>Kết quả gốc được kiểm tra và có bằng chứng gắn với CIN-SUB-168; ngoại lệ được ghi rõ.</t>
        </is>
      </c>
      <c r="AB169" s="2" t="inlineStr">
        <is>
          <t>Planned</t>
        </is>
      </c>
      <c r="AC169" s="2" t="inlineStr">
        <is>
          <t>Planned only; no completion evidence was transferred.</t>
        </is>
      </c>
    </row>
    <row r="170">
      <c r="A170" s="2" t="inlineStr">
        <is>
          <t>ORIG-169</t>
        </is>
      </c>
      <c r="B170" s="2" t="n">
        <v>170</v>
      </c>
      <c r="C170" s="2" t="inlineStr">
        <is>
          <t>Admin / Staff Web</t>
        </is>
      </c>
      <c r="D170" s="2" t="n"/>
      <c r="E170" s="2" t="inlineStr">
        <is>
          <t>Quản lý Cinema Room</t>
        </is>
      </c>
      <c r="F170" s="2" t="inlineStr">
        <is>
          <t>CRUD phòng</t>
        </is>
      </c>
      <c r="G170" s="2" t="inlineStr">
        <is>
          <t>Cần thiết để hỗ trợ chức năng chính</t>
        </is>
      </c>
      <c r="H170" s="2" t="inlineStr">
        <is>
          <t>Sprint 5</t>
        </is>
      </c>
      <c r="I170" s="2" t="inlineStr">
        <is>
          <t>Ưu tiên màn hình tối thiểu phục vụ quản lý và demo.</t>
        </is>
      </c>
      <c r="J170" s="2" t="inlineStr">
        <is>
          <t>PH-04</t>
        </is>
      </c>
      <c r="K170" s="2" t="inlineStr">
        <is>
          <t>Release, Verification &amp; Handover</t>
        </is>
      </c>
      <c r="L170" s="2" t="inlineStr">
        <is>
          <t>CIN-T-028</t>
        </is>
      </c>
      <c r="M170" s="2" t="inlineStr">
        <is>
          <t>Xây giao diện quản trị và nhân viên tối thiểu</t>
        </is>
      </c>
      <c r="N170" s="2" t="inlineStr">
        <is>
          <t>24120244</t>
        </is>
      </c>
      <c r="O170" s="2" t="inlineStr">
        <is>
          <t>Phan Van Viet</t>
        </is>
      </c>
      <c r="P170" s="2" t="inlineStr">
        <is>
          <t>CIN-SUB-169</t>
        </is>
      </c>
      <c r="Q170" s="2" t="inlineStr">
        <is>
          <t>Sprint 5</t>
        </is>
      </c>
      <c r="R170" s="2" t="inlineStr">
        <is>
          <t>24120244</t>
        </is>
      </c>
      <c r="S170" s="2" t="inlineStr">
        <is>
          <t>Phan Van Viet</t>
        </is>
      </c>
      <c r="T170" s="3" t="n">
        <v>46354</v>
      </c>
      <c r="U170" s="3" t="n">
        <v>46368</v>
      </c>
      <c r="V170" s="2" t="n">
        <v>2</v>
      </c>
      <c r="W170" s="2" t="inlineStr">
        <is>
          <t>Medium</t>
        </is>
      </c>
      <c r="X170" s="2" t="inlineStr">
        <is>
          <t>Frontend Development</t>
        </is>
      </c>
      <c r="Y170" s="2" t="inlineStr">
        <is>
          <t>CIN-T-019, CIN-T-020, CIN-T-021, CIN-T-017</t>
        </is>
      </c>
      <c r="Z170" s="2" t="inlineStr">
        <is>
          <t>Hoàn tất kết quả gốc: CRUD phòng.</t>
        </is>
      </c>
      <c r="AA170" s="2" t="inlineStr">
        <is>
          <t>Kết quả gốc được kiểm tra và có bằng chứng gắn với CIN-SUB-169; ngoại lệ được ghi rõ.</t>
        </is>
      </c>
      <c r="AB170" s="2" t="inlineStr">
        <is>
          <t>Planned</t>
        </is>
      </c>
      <c r="AC170" s="2" t="inlineStr">
        <is>
          <t>Planned only; no completion evidence was transferred.</t>
        </is>
      </c>
    </row>
    <row r="171">
      <c r="A171" s="2" t="inlineStr">
        <is>
          <t>ORIG-170</t>
        </is>
      </c>
      <c r="B171" s="2" t="n">
        <v>171</v>
      </c>
      <c r="C171" s="2" t="inlineStr">
        <is>
          <t>Admin / Staff Web</t>
        </is>
      </c>
      <c r="D171" s="2" t="n"/>
      <c r="E171" s="2" t="inlineStr">
        <is>
          <t>Quản lý Seat</t>
        </is>
      </c>
      <c r="F171" s="2" t="inlineStr">
        <is>
          <t>Quản lý sơ đồ ghế</t>
        </is>
      </c>
      <c r="G171" s="2" t="inlineStr">
        <is>
          <t>Cần thiết để hỗ trợ chức năng chính</t>
        </is>
      </c>
      <c r="H171" s="2" t="inlineStr">
        <is>
          <t>Sprint 5</t>
        </is>
      </c>
      <c r="I171" s="2" t="inlineStr">
        <is>
          <t>Ưu tiên màn hình tối thiểu phục vụ quản lý và demo.</t>
        </is>
      </c>
      <c r="J171" s="2" t="inlineStr">
        <is>
          <t>PH-04</t>
        </is>
      </c>
      <c r="K171" s="2" t="inlineStr">
        <is>
          <t>Release, Verification &amp; Handover</t>
        </is>
      </c>
      <c r="L171" s="2" t="inlineStr">
        <is>
          <t>CIN-T-028</t>
        </is>
      </c>
      <c r="M171" s="2" t="inlineStr">
        <is>
          <t>Xây giao diện quản trị và nhân viên tối thiểu</t>
        </is>
      </c>
      <c r="N171" s="2" t="inlineStr">
        <is>
          <t>24120244</t>
        </is>
      </c>
      <c r="O171" s="2" t="inlineStr">
        <is>
          <t>Phan Van Viet</t>
        </is>
      </c>
      <c r="P171" s="2" t="inlineStr">
        <is>
          <t>CIN-SUB-170</t>
        </is>
      </c>
      <c r="Q171" s="2" t="inlineStr">
        <is>
          <t>Sprint 5</t>
        </is>
      </c>
      <c r="R171" s="2" t="inlineStr">
        <is>
          <t>24120271</t>
        </is>
      </c>
      <c r="S171" s="2" t="inlineStr">
        <is>
          <t>Nguyen Trung Chinh</t>
        </is>
      </c>
      <c r="T171" s="3" t="n">
        <v>46354</v>
      </c>
      <c r="U171" s="3" t="n">
        <v>46368</v>
      </c>
      <c r="V171" s="2" t="n">
        <v>2</v>
      </c>
      <c r="W171" s="2" t="inlineStr">
        <is>
          <t>Medium</t>
        </is>
      </c>
      <c r="X171" s="2" t="inlineStr">
        <is>
          <t>Frontend Development</t>
        </is>
      </c>
      <c r="Y171" s="2" t="inlineStr">
        <is>
          <t>CIN-T-019, CIN-T-020, CIN-T-021, CIN-T-017</t>
        </is>
      </c>
      <c r="Z171" s="2" t="inlineStr">
        <is>
          <t>Hoàn tất kết quả gốc: Quản lý sơ đồ ghế.</t>
        </is>
      </c>
      <c r="AA171" s="2" t="inlineStr">
        <is>
          <t>Kết quả gốc được kiểm tra và có bằng chứng gắn với CIN-SUB-170; ngoại lệ được ghi rõ.</t>
        </is>
      </c>
      <c r="AB171" s="2" t="inlineStr">
        <is>
          <t>Planned</t>
        </is>
      </c>
      <c r="AC171" s="2" t="inlineStr">
        <is>
          <t>Planned only; no completion evidence was transferred.</t>
        </is>
      </c>
    </row>
    <row r="172">
      <c r="A172" s="2" t="inlineStr">
        <is>
          <t>ORIG-171</t>
        </is>
      </c>
      <c r="B172" s="2" t="n">
        <v>172</v>
      </c>
      <c r="C172" s="2" t="inlineStr">
        <is>
          <t>Admin / Staff Web</t>
        </is>
      </c>
      <c r="D172" s="2" t="n"/>
      <c r="E172" s="2" t="inlineStr">
        <is>
          <t>Quản lý Ticket Type</t>
        </is>
      </c>
      <c r="F172" s="2" t="inlineStr">
        <is>
          <t>CRUD loại vé</t>
        </is>
      </c>
      <c r="G172" s="2" t="inlineStr">
        <is>
          <t>Cần thiết để hỗ trợ chức năng chính</t>
        </is>
      </c>
      <c r="H172" s="2" t="inlineStr">
        <is>
          <t>Sprint 5</t>
        </is>
      </c>
      <c r="I172" s="2" t="inlineStr">
        <is>
          <t>Ưu tiên màn hình tối thiểu phục vụ quản lý và demo.</t>
        </is>
      </c>
      <c r="J172" s="2" t="inlineStr">
        <is>
          <t>PH-04</t>
        </is>
      </c>
      <c r="K172" s="2" t="inlineStr">
        <is>
          <t>Release, Verification &amp; Handover</t>
        </is>
      </c>
      <c r="L172" s="2" t="inlineStr">
        <is>
          <t>CIN-T-028</t>
        </is>
      </c>
      <c r="M172" s="2" t="inlineStr">
        <is>
          <t>Xây giao diện quản trị và nhân viên tối thiểu</t>
        </is>
      </c>
      <c r="N172" s="2" t="inlineStr">
        <is>
          <t>24120244</t>
        </is>
      </c>
      <c r="O172" s="2" t="inlineStr">
        <is>
          <t>Phan Van Viet</t>
        </is>
      </c>
      <c r="P172" s="2" t="inlineStr">
        <is>
          <t>CIN-SUB-171</t>
        </is>
      </c>
      <c r="Q172" s="2" t="inlineStr">
        <is>
          <t>Sprint 5</t>
        </is>
      </c>
      <c r="R172" s="2" t="inlineStr">
        <is>
          <t>24120235</t>
        </is>
      </c>
      <c r="S172" s="2" t="inlineStr">
        <is>
          <t>Huynh Thanh Tu</t>
        </is>
      </c>
      <c r="T172" s="3" t="n">
        <v>46354</v>
      </c>
      <c r="U172" s="3" t="n">
        <v>46368</v>
      </c>
      <c r="V172" s="2" t="n">
        <v>3</v>
      </c>
      <c r="W172" s="2" t="inlineStr">
        <is>
          <t>Medium</t>
        </is>
      </c>
      <c r="X172" s="2" t="inlineStr">
        <is>
          <t>Frontend Development</t>
        </is>
      </c>
      <c r="Y172" s="2" t="inlineStr">
        <is>
          <t>CIN-T-019, CIN-T-020, CIN-T-021, CIN-T-017</t>
        </is>
      </c>
      <c r="Z172" s="2" t="inlineStr">
        <is>
          <t>Hoàn tất kết quả gốc: CRUD loại vé.</t>
        </is>
      </c>
      <c r="AA172" s="2" t="inlineStr">
        <is>
          <t>Kết quả gốc được kiểm tra và có bằng chứng gắn với CIN-SUB-171; ngoại lệ được ghi rõ.</t>
        </is>
      </c>
      <c r="AB172" s="2" t="inlineStr">
        <is>
          <t>Planned</t>
        </is>
      </c>
      <c r="AC172" s="2" t="inlineStr">
        <is>
          <t>Planned only; no completion evidence was transferred.</t>
        </is>
      </c>
    </row>
    <row r="173">
      <c r="A173" s="2" t="inlineStr">
        <is>
          <t>ORIG-172</t>
        </is>
      </c>
      <c r="B173" s="2" t="n">
        <v>173</v>
      </c>
      <c r="C173" s="2" t="inlineStr">
        <is>
          <t>Admin / Staff Web</t>
        </is>
      </c>
      <c r="D173" s="2" t="n"/>
      <c r="E173" s="2" t="inlineStr">
        <is>
          <t>Quản lý Showtime</t>
        </is>
      </c>
      <c r="F173" s="2" t="inlineStr">
        <is>
          <t>CRUD suất chiếu</t>
        </is>
      </c>
      <c r="G173" s="2" t="inlineStr">
        <is>
          <t>Cần thiết để hỗ trợ chức năng chính</t>
        </is>
      </c>
      <c r="H173" s="2" t="inlineStr">
        <is>
          <t>Sprint 5</t>
        </is>
      </c>
      <c r="I173" s="2" t="inlineStr">
        <is>
          <t>Ưu tiên màn hình tối thiểu phục vụ quản lý và demo.</t>
        </is>
      </c>
      <c r="J173" s="2" t="inlineStr">
        <is>
          <t>PH-04</t>
        </is>
      </c>
      <c r="K173" s="2" t="inlineStr">
        <is>
          <t>Release, Verification &amp; Handover</t>
        </is>
      </c>
      <c r="L173" s="2" t="inlineStr">
        <is>
          <t>CIN-T-028</t>
        </is>
      </c>
      <c r="M173" s="2" t="inlineStr">
        <is>
          <t>Xây giao diện quản trị và nhân viên tối thiểu</t>
        </is>
      </c>
      <c r="N173" s="2" t="inlineStr">
        <is>
          <t>24120244</t>
        </is>
      </c>
      <c r="O173" s="2" t="inlineStr">
        <is>
          <t>Phan Van Viet</t>
        </is>
      </c>
      <c r="P173" s="2" t="inlineStr">
        <is>
          <t>CIN-SUB-172</t>
        </is>
      </c>
      <c r="Q173" s="2" t="inlineStr">
        <is>
          <t>Sprint 5</t>
        </is>
      </c>
      <c r="R173" s="2" t="inlineStr">
        <is>
          <t>24120255</t>
        </is>
      </c>
      <c r="S173" s="2" t="inlineStr">
        <is>
          <t>Tran Thien An</t>
        </is>
      </c>
      <c r="T173" s="3" t="n">
        <v>46354</v>
      </c>
      <c r="U173" s="3" t="n">
        <v>46368</v>
      </c>
      <c r="V173" s="2" t="n">
        <v>2</v>
      </c>
      <c r="W173" s="2" t="inlineStr">
        <is>
          <t>Medium</t>
        </is>
      </c>
      <c r="X173" s="2" t="inlineStr">
        <is>
          <t>Frontend Development</t>
        </is>
      </c>
      <c r="Y173" s="2" t="inlineStr">
        <is>
          <t>CIN-T-019, CIN-T-020, CIN-T-021, CIN-T-017</t>
        </is>
      </c>
      <c r="Z173" s="2" t="inlineStr">
        <is>
          <t>Hoàn tất kết quả gốc: CRUD suất chiếu.</t>
        </is>
      </c>
      <c r="AA173" s="2" t="inlineStr">
        <is>
          <t>Kết quả gốc được kiểm tra và có bằng chứng gắn với CIN-SUB-172; ngoại lệ được ghi rõ.</t>
        </is>
      </c>
      <c r="AB173" s="2" t="inlineStr">
        <is>
          <t>Planned</t>
        </is>
      </c>
      <c r="AC173" s="2" t="inlineStr">
        <is>
          <t>Planned only; no completion evidence was transferred.</t>
        </is>
      </c>
    </row>
    <row r="174">
      <c r="A174" s="2" t="inlineStr">
        <is>
          <t>ORIG-173</t>
        </is>
      </c>
      <c r="B174" s="2" t="n">
        <v>174</v>
      </c>
      <c r="C174" s="2" t="inlineStr">
        <is>
          <t>Admin / Staff Web</t>
        </is>
      </c>
      <c r="D174" s="2" t="n"/>
      <c r="E174" s="2" t="inlineStr">
        <is>
          <t>Quản lý Booking</t>
        </is>
      </c>
      <c r="F174" s="2" t="inlineStr">
        <is>
          <t>Xem / tìm kiếm / xử lý booking</t>
        </is>
      </c>
      <c r="G174" s="2" t="inlineStr">
        <is>
          <t>Cần thiết để hỗ trợ chức năng chính</t>
        </is>
      </c>
      <c r="H174" s="2" t="inlineStr">
        <is>
          <t>Sprint 5</t>
        </is>
      </c>
      <c r="I174" s="2" t="inlineStr">
        <is>
          <t>Ưu tiên màn hình tối thiểu phục vụ quản lý và demo.</t>
        </is>
      </c>
      <c r="J174" s="2" t="inlineStr">
        <is>
          <t>PH-04</t>
        </is>
      </c>
      <c r="K174" s="2" t="inlineStr">
        <is>
          <t>Release, Verification &amp; Handover</t>
        </is>
      </c>
      <c r="L174" s="2" t="inlineStr">
        <is>
          <t>CIN-T-028</t>
        </is>
      </c>
      <c r="M174" s="2" t="inlineStr">
        <is>
          <t>Xây giao diện quản trị và nhân viên tối thiểu</t>
        </is>
      </c>
      <c r="N174" s="2" t="inlineStr">
        <is>
          <t>24120244</t>
        </is>
      </c>
      <c r="O174" s="2" t="inlineStr">
        <is>
          <t>Phan Van Viet</t>
        </is>
      </c>
      <c r="P174" s="2" t="inlineStr">
        <is>
          <t>CIN-SUB-173</t>
        </is>
      </c>
      <c r="Q174" s="2" t="inlineStr">
        <is>
          <t>Sprint 5</t>
        </is>
      </c>
      <c r="R174" s="2" t="inlineStr">
        <is>
          <t>24120098</t>
        </is>
      </c>
      <c r="S174" s="2" t="inlineStr">
        <is>
          <t>Nguyen Quoc Nam</t>
        </is>
      </c>
      <c r="T174" s="3" t="n">
        <v>46354</v>
      </c>
      <c r="U174" s="3" t="n">
        <v>46368</v>
      </c>
      <c r="V174" s="2" t="n">
        <v>3</v>
      </c>
      <c r="W174" s="2" t="inlineStr">
        <is>
          <t>Medium</t>
        </is>
      </c>
      <c r="X174" s="2" t="inlineStr">
        <is>
          <t>Frontend Development</t>
        </is>
      </c>
      <c r="Y174" s="2" t="inlineStr">
        <is>
          <t>CIN-T-019, CIN-T-020, CIN-T-021, CIN-T-017</t>
        </is>
      </c>
      <c r="Z174" s="2" t="inlineStr">
        <is>
          <t>Hoàn tất kết quả gốc: Xem / tìm kiếm / xử lý booking.</t>
        </is>
      </c>
      <c r="AA174" s="2" t="inlineStr">
        <is>
          <t>Kết quả gốc được kiểm tra và có bằng chứng gắn với CIN-SUB-173; ngoại lệ được ghi rõ.</t>
        </is>
      </c>
      <c r="AB174" s="2" t="inlineStr">
        <is>
          <t>Planned</t>
        </is>
      </c>
      <c r="AC174" s="2" t="inlineStr">
        <is>
          <t>Planned only; no completion evidence was transferred.</t>
        </is>
      </c>
    </row>
    <row r="175">
      <c r="A175" s="2" t="inlineStr">
        <is>
          <t>ORIG-174</t>
        </is>
      </c>
      <c r="B175" s="2" t="n">
        <v>175</v>
      </c>
      <c r="C175" s="2" t="inlineStr">
        <is>
          <t>Admin / Staff Web</t>
        </is>
      </c>
      <c r="D175" s="2" t="n"/>
      <c r="E175" s="2" t="inlineStr">
        <is>
          <t>Quản lý Ticket</t>
        </is>
      </c>
      <c r="F175" s="2" t="inlineStr">
        <is>
          <t>Xem và xác thực vé</t>
        </is>
      </c>
      <c r="G175" s="2" t="inlineStr">
        <is>
          <t>Cần thiết để hỗ trợ chức năng chính</t>
        </is>
      </c>
      <c r="H175" s="2" t="inlineStr">
        <is>
          <t>Sprint 5</t>
        </is>
      </c>
      <c r="I175" s="2" t="inlineStr">
        <is>
          <t>Ưu tiên màn hình tối thiểu phục vụ quản lý và demo.</t>
        </is>
      </c>
      <c r="J175" s="2" t="inlineStr">
        <is>
          <t>PH-04</t>
        </is>
      </c>
      <c r="K175" s="2" t="inlineStr">
        <is>
          <t>Release, Verification &amp; Handover</t>
        </is>
      </c>
      <c r="L175" s="2" t="inlineStr">
        <is>
          <t>CIN-T-028</t>
        </is>
      </c>
      <c r="M175" s="2" t="inlineStr">
        <is>
          <t>Xây giao diện quản trị và nhân viên tối thiểu</t>
        </is>
      </c>
      <c r="N175" s="2" t="inlineStr">
        <is>
          <t>24120244</t>
        </is>
      </c>
      <c r="O175" s="2" t="inlineStr">
        <is>
          <t>Phan Van Viet</t>
        </is>
      </c>
      <c r="P175" s="2" t="inlineStr">
        <is>
          <t>CIN-SUB-174</t>
        </is>
      </c>
      <c r="Q175" s="2" t="inlineStr">
        <is>
          <t>Sprint 5</t>
        </is>
      </c>
      <c r="R175" s="2" t="inlineStr">
        <is>
          <t>24120244</t>
        </is>
      </c>
      <c r="S175" s="2" t="inlineStr">
        <is>
          <t>Phan Van Viet</t>
        </is>
      </c>
      <c r="T175" s="3" t="n">
        <v>46354</v>
      </c>
      <c r="U175" s="3" t="n">
        <v>46368</v>
      </c>
      <c r="V175" s="2" t="n">
        <v>3</v>
      </c>
      <c r="W175" s="2" t="inlineStr">
        <is>
          <t>Medium</t>
        </is>
      </c>
      <c r="X175" s="2" t="inlineStr">
        <is>
          <t>Frontend Development</t>
        </is>
      </c>
      <c r="Y175" s="2" t="inlineStr">
        <is>
          <t>CIN-T-019, CIN-T-020, CIN-T-021, CIN-T-017</t>
        </is>
      </c>
      <c r="Z175" s="2" t="inlineStr">
        <is>
          <t>Hoàn tất kết quả gốc: Xem và xác thực vé.</t>
        </is>
      </c>
      <c r="AA175" s="2" t="inlineStr">
        <is>
          <t>Kết quả gốc được kiểm tra và có bằng chứng gắn với CIN-SUB-174; ngoại lệ được ghi rõ.</t>
        </is>
      </c>
      <c r="AB175" s="2" t="inlineStr">
        <is>
          <t>Planned</t>
        </is>
      </c>
      <c r="AC175" s="2" t="inlineStr">
        <is>
          <t>Planned only; no completion evidence was transferred.</t>
        </is>
      </c>
    </row>
    <row r="176">
      <c r="A176" s="2" t="inlineStr">
        <is>
          <t>ORIG-175</t>
        </is>
      </c>
      <c r="B176" s="2" t="n">
        <v>176</v>
      </c>
      <c r="C176" s="2" t="inlineStr">
        <is>
          <t>Admin / Staff Web</t>
        </is>
      </c>
      <c r="D176" s="2" t="n"/>
      <c r="E176" s="2" t="inlineStr">
        <is>
          <t>Quản lý Payment</t>
        </is>
      </c>
      <c r="F176" s="2" t="inlineStr">
        <is>
          <t>Theo dõi giao dịch</t>
        </is>
      </c>
      <c r="G176" s="2" t="inlineStr">
        <is>
          <t>Cần thiết để hỗ trợ chức năng chính</t>
        </is>
      </c>
      <c r="H176" s="2" t="inlineStr">
        <is>
          <t>Sprint 5</t>
        </is>
      </c>
      <c r="I176" s="2" t="inlineStr">
        <is>
          <t>Ưu tiên màn hình tối thiểu phục vụ quản lý và demo.</t>
        </is>
      </c>
      <c r="J176" s="2" t="inlineStr">
        <is>
          <t>PH-04</t>
        </is>
      </c>
      <c r="K176" s="2" t="inlineStr">
        <is>
          <t>Release, Verification &amp; Handover</t>
        </is>
      </c>
      <c r="L176" s="2" t="inlineStr">
        <is>
          <t>CIN-T-028</t>
        </is>
      </c>
      <c r="M176" s="2" t="inlineStr">
        <is>
          <t>Xây giao diện quản trị và nhân viên tối thiểu</t>
        </is>
      </c>
      <c r="N176" s="2" t="inlineStr">
        <is>
          <t>24120244</t>
        </is>
      </c>
      <c r="O176" s="2" t="inlineStr">
        <is>
          <t>Phan Van Viet</t>
        </is>
      </c>
      <c r="P176" s="2" t="inlineStr">
        <is>
          <t>CIN-SUB-175</t>
        </is>
      </c>
      <c r="Q176" s="2" t="inlineStr">
        <is>
          <t>Sprint 5</t>
        </is>
      </c>
      <c r="R176" s="2" t="inlineStr">
        <is>
          <t>24120271</t>
        </is>
      </c>
      <c r="S176" s="2" t="inlineStr">
        <is>
          <t>Nguyen Trung Chinh</t>
        </is>
      </c>
      <c r="T176" s="3" t="n">
        <v>46354</v>
      </c>
      <c r="U176" s="3" t="n">
        <v>46368</v>
      </c>
      <c r="V176" s="2" t="n">
        <v>3</v>
      </c>
      <c r="W176" s="2" t="inlineStr">
        <is>
          <t>Medium</t>
        </is>
      </c>
      <c r="X176" s="2" t="inlineStr">
        <is>
          <t>Frontend Development</t>
        </is>
      </c>
      <c r="Y176" s="2" t="inlineStr">
        <is>
          <t>CIN-T-019, CIN-T-020, CIN-T-021, CIN-T-017</t>
        </is>
      </c>
      <c r="Z176" s="2" t="inlineStr">
        <is>
          <t>Hoàn tất kết quả gốc: Theo dõi giao dịch.</t>
        </is>
      </c>
      <c r="AA176" s="2" t="inlineStr">
        <is>
          <t>Kết quả gốc được kiểm tra và có bằng chứng gắn với CIN-SUB-175; ngoại lệ được ghi rõ.</t>
        </is>
      </c>
      <c r="AB176" s="2" t="inlineStr">
        <is>
          <t>Planned</t>
        </is>
      </c>
      <c r="AC176" s="2" t="inlineStr">
        <is>
          <t>Planned only; no completion evidence was transferred.</t>
        </is>
      </c>
    </row>
    <row r="177">
      <c r="A177" s="2" t="inlineStr">
        <is>
          <t>ORIG-176</t>
        </is>
      </c>
      <c r="B177" s="2" t="n">
        <v>177</v>
      </c>
      <c r="C177" s="2" t="inlineStr">
        <is>
          <t>Admin / Staff Web</t>
        </is>
      </c>
      <c r="D177" s="2" t="n"/>
      <c r="E177" s="2" t="inlineStr">
        <is>
          <t>Quản lý User</t>
        </is>
      </c>
      <c r="F177" s="2" t="inlineStr">
        <is>
          <t>Quản lý tài khoản</t>
        </is>
      </c>
      <c r="G177" s="2" t="inlineStr">
        <is>
          <t>Cần thiết để hỗ trợ chức năng chính</t>
        </is>
      </c>
      <c r="H177" s="2" t="inlineStr">
        <is>
          <t>Sprint 5</t>
        </is>
      </c>
      <c r="I177" s="2" t="inlineStr">
        <is>
          <t>Ưu tiên màn hình tối thiểu phục vụ quản lý và demo.</t>
        </is>
      </c>
      <c r="J177" s="2" t="inlineStr">
        <is>
          <t>PH-04</t>
        </is>
      </c>
      <c r="K177" s="2" t="inlineStr">
        <is>
          <t>Release, Verification &amp; Handover</t>
        </is>
      </c>
      <c r="L177" s="2" t="inlineStr">
        <is>
          <t>CIN-T-028</t>
        </is>
      </c>
      <c r="M177" s="2" t="inlineStr">
        <is>
          <t>Xây giao diện quản trị và nhân viên tối thiểu</t>
        </is>
      </c>
      <c r="N177" s="2" t="inlineStr">
        <is>
          <t>24120244</t>
        </is>
      </c>
      <c r="O177" s="2" t="inlineStr">
        <is>
          <t>Phan Van Viet</t>
        </is>
      </c>
      <c r="P177" s="2" t="inlineStr">
        <is>
          <t>CIN-SUB-176</t>
        </is>
      </c>
      <c r="Q177" s="2" t="inlineStr">
        <is>
          <t>Sprint 5</t>
        </is>
      </c>
      <c r="R177" s="2" t="inlineStr">
        <is>
          <t>24120255</t>
        </is>
      </c>
      <c r="S177" s="2" t="inlineStr">
        <is>
          <t>Tran Thien An</t>
        </is>
      </c>
      <c r="T177" s="3" t="n">
        <v>46354</v>
      </c>
      <c r="U177" s="3" t="n">
        <v>46368</v>
      </c>
      <c r="V177" s="2" t="n">
        <v>2</v>
      </c>
      <c r="W177" s="2" t="inlineStr">
        <is>
          <t>Medium</t>
        </is>
      </c>
      <c r="X177" s="2" t="inlineStr">
        <is>
          <t>Frontend Development</t>
        </is>
      </c>
      <c r="Y177" s="2" t="inlineStr">
        <is>
          <t>CIN-T-019, CIN-T-020, CIN-T-021, CIN-T-017</t>
        </is>
      </c>
      <c r="Z177" s="2" t="inlineStr">
        <is>
          <t>Hoàn tất kết quả gốc: Quản lý tài khoản.</t>
        </is>
      </c>
      <c r="AA177" s="2" t="inlineStr">
        <is>
          <t>Kết quả gốc được kiểm tra và có bằng chứng gắn với CIN-SUB-176; ngoại lệ được ghi rõ.</t>
        </is>
      </c>
      <c r="AB177" s="2" t="inlineStr">
        <is>
          <t>Planned</t>
        </is>
      </c>
      <c r="AC177" s="2" t="inlineStr">
        <is>
          <t>Planned only; no completion evidence was transferred.</t>
        </is>
      </c>
    </row>
    <row r="178">
      <c r="A178" s="2" t="inlineStr">
        <is>
          <t>ORIG-177</t>
        </is>
      </c>
      <c r="B178" s="2" t="n">
        <v>178</v>
      </c>
      <c r="C178" s="2" t="inlineStr">
        <is>
          <t>Search / Filter</t>
        </is>
      </c>
      <c r="D178" s="2" t="inlineStr">
        <is>
          <t>Tìm kiếm/lọc</t>
        </is>
      </c>
      <c r="E178" s="2" t="inlineStr">
        <is>
          <t>Tìm kiếm phim</t>
        </is>
      </c>
      <c r="F178" s="2" t="inlineStr">
        <is>
          <t>Theo tên phim</t>
        </is>
      </c>
      <c r="G178" s="2" t="inlineStr">
        <is>
          <t>Cần thiết để hỗ trợ chức năng chính</t>
        </is>
      </c>
      <c r="H178" s="2" t="inlineStr">
        <is>
          <t>Sprint 5</t>
        </is>
      </c>
      <c r="I178" s="2" t="inlineStr">
        <is>
          <t>Chỉ giữ bộ lọc thực sự cần cho luồng sử dụng chính.</t>
        </is>
      </c>
      <c r="J178" s="2" t="inlineStr">
        <is>
          <t>PH-04</t>
        </is>
      </c>
      <c r="K178" s="2" t="inlineStr">
        <is>
          <t>Release, Verification &amp; Handover</t>
        </is>
      </c>
      <c r="L178" s="2" t="inlineStr">
        <is>
          <t>CIN-T-029</t>
        </is>
      </c>
      <c r="M178" s="2" t="inlineStr">
        <is>
          <t>Bổ sung tìm kiếm và bộ lọc cần thiết</t>
        </is>
      </c>
      <c r="N178" s="2" t="inlineStr">
        <is>
          <t>24120244</t>
        </is>
      </c>
      <c r="O178" s="2" t="inlineStr">
        <is>
          <t>Phan Van Viet</t>
        </is>
      </c>
      <c r="P178" s="2" t="inlineStr">
        <is>
          <t>CIN-SUB-177</t>
        </is>
      </c>
      <c r="Q178" s="2" t="inlineStr">
        <is>
          <t>Sprint 5</t>
        </is>
      </c>
      <c r="R178" s="2" t="inlineStr">
        <is>
          <t>24120235</t>
        </is>
      </c>
      <c r="S178" s="2" t="inlineStr">
        <is>
          <t>Huynh Thanh Tu</t>
        </is>
      </c>
      <c r="T178" s="3" t="n">
        <v>46354</v>
      </c>
      <c r="U178" s="3" t="n">
        <v>46368</v>
      </c>
      <c r="V178" s="2" t="n">
        <v>2</v>
      </c>
      <c r="W178" s="2" t="inlineStr">
        <is>
          <t>Medium</t>
        </is>
      </c>
      <c r="X178" s="2" t="inlineStr">
        <is>
          <t>Frontend / Backend Development</t>
        </is>
      </c>
      <c r="Y178" s="2" t="inlineStr">
        <is>
          <t>CIN-T-015, CIN-T-028</t>
        </is>
      </c>
      <c r="Z178" s="2" t="inlineStr">
        <is>
          <t>Hoàn tất kết quả gốc: Theo tên phim.</t>
        </is>
      </c>
      <c r="AA178" s="2" t="inlineStr">
        <is>
          <t>Kết quả gốc được kiểm tra và có bằng chứng gắn với CIN-SUB-177; ngoại lệ được ghi rõ.</t>
        </is>
      </c>
      <c r="AB178" s="2" t="inlineStr">
        <is>
          <t>Planned</t>
        </is>
      </c>
      <c r="AC178" s="2" t="inlineStr">
        <is>
          <t>Planned only; no completion evidence was transferred.</t>
        </is>
      </c>
    </row>
    <row r="179">
      <c r="A179" s="2" t="inlineStr">
        <is>
          <t>ORIG-178</t>
        </is>
      </c>
      <c r="B179" s="2" t="n">
        <v>179</v>
      </c>
      <c r="C179" s="2" t="inlineStr">
        <is>
          <t>Search / Filter</t>
        </is>
      </c>
      <c r="D179" s="2" t="n"/>
      <c r="E179" s="2" t="inlineStr">
        <is>
          <t>Lọc phim</t>
        </is>
      </c>
      <c r="F179" s="2" t="inlineStr">
        <is>
          <t>Genre / Status / Release Date</t>
        </is>
      </c>
      <c r="G179" s="2" t="inlineStr">
        <is>
          <t>Cần thiết để hỗ trợ chức năng chính</t>
        </is>
      </c>
      <c r="H179" s="2" t="inlineStr">
        <is>
          <t>Sprint 5</t>
        </is>
      </c>
      <c r="I179" s="2" t="inlineStr">
        <is>
          <t>Chỉ giữ bộ lọc thực sự cần cho luồng sử dụng chính.</t>
        </is>
      </c>
      <c r="J179" s="2" t="inlineStr">
        <is>
          <t>PH-04</t>
        </is>
      </c>
      <c r="K179" s="2" t="inlineStr">
        <is>
          <t>Release, Verification &amp; Handover</t>
        </is>
      </c>
      <c r="L179" s="2" t="inlineStr">
        <is>
          <t>CIN-T-029</t>
        </is>
      </c>
      <c r="M179" s="2" t="inlineStr">
        <is>
          <t>Bổ sung tìm kiếm và bộ lọc cần thiết</t>
        </is>
      </c>
      <c r="N179" s="2" t="inlineStr">
        <is>
          <t>24120244</t>
        </is>
      </c>
      <c r="O179" s="2" t="inlineStr">
        <is>
          <t>Phan Van Viet</t>
        </is>
      </c>
      <c r="P179" s="2" t="inlineStr">
        <is>
          <t>CIN-SUB-178</t>
        </is>
      </c>
      <c r="Q179" s="2" t="inlineStr">
        <is>
          <t>Sprint 5</t>
        </is>
      </c>
      <c r="R179" s="2" t="inlineStr">
        <is>
          <t>24120098</t>
        </is>
      </c>
      <c r="S179" s="2" t="inlineStr">
        <is>
          <t>Nguyen Quoc Nam</t>
        </is>
      </c>
      <c r="T179" s="3" t="n">
        <v>46354</v>
      </c>
      <c r="U179" s="3" t="n">
        <v>46368</v>
      </c>
      <c r="V179" s="2" t="n">
        <v>2</v>
      </c>
      <c r="W179" s="2" t="inlineStr">
        <is>
          <t>Medium</t>
        </is>
      </c>
      <c r="X179" s="2" t="inlineStr">
        <is>
          <t>Frontend / Backend Development</t>
        </is>
      </c>
      <c r="Y179" s="2" t="inlineStr">
        <is>
          <t>CIN-T-015, CIN-T-028</t>
        </is>
      </c>
      <c r="Z179" s="2" t="inlineStr">
        <is>
          <t>Hoàn tất kết quả gốc: Genre / Status / Release Date.</t>
        </is>
      </c>
      <c r="AA179" s="2" t="inlineStr">
        <is>
          <t>Kết quả gốc được kiểm tra và có bằng chứng gắn với CIN-SUB-178; ngoại lệ được ghi rõ.</t>
        </is>
      </c>
      <c r="AB179" s="2" t="inlineStr">
        <is>
          <t>Planned</t>
        </is>
      </c>
      <c r="AC179" s="2" t="inlineStr">
        <is>
          <t>Planned only; no completion evidence was transferred.</t>
        </is>
      </c>
    </row>
    <row r="180">
      <c r="A180" s="2" t="inlineStr">
        <is>
          <t>ORIG-179</t>
        </is>
      </c>
      <c r="B180" s="2" t="n">
        <v>180</v>
      </c>
      <c r="C180" s="2" t="inlineStr">
        <is>
          <t>Search / Filter</t>
        </is>
      </c>
      <c r="D180" s="2" t="n"/>
      <c r="E180" s="2" t="inlineStr">
        <is>
          <t>Lọc Showtime</t>
        </is>
      </c>
      <c r="F180" s="2" t="inlineStr">
        <is>
          <t>Ngày / phim / phòng</t>
        </is>
      </c>
      <c r="G180" s="2" t="inlineStr">
        <is>
          <t>Cần thiết để hỗ trợ chức năng chính</t>
        </is>
      </c>
      <c r="H180" s="2" t="inlineStr">
        <is>
          <t>Sprint 5</t>
        </is>
      </c>
      <c r="I180" s="2" t="inlineStr">
        <is>
          <t>Chỉ giữ bộ lọc thực sự cần cho luồng sử dụng chính.</t>
        </is>
      </c>
      <c r="J180" s="2" t="inlineStr">
        <is>
          <t>PH-04</t>
        </is>
      </c>
      <c r="K180" s="2" t="inlineStr">
        <is>
          <t>Release, Verification &amp; Handover</t>
        </is>
      </c>
      <c r="L180" s="2" t="inlineStr">
        <is>
          <t>CIN-T-029</t>
        </is>
      </c>
      <c r="M180" s="2" t="inlineStr">
        <is>
          <t>Bổ sung tìm kiếm và bộ lọc cần thiết</t>
        </is>
      </c>
      <c r="N180" s="2" t="inlineStr">
        <is>
          <t>24120244</t>
        </is>
      </c>
      <c r="O180" s="2" t="inlineStr">
        <is>
          <t>Phan Van Viet</t>
        </is>
      </c>
      <c r="P180" s="2" t="inlineStr">
        <is>
          <t>CIN-SUB-179</t>
        </is>
      </c>
      <c r="Q180" s="2" t="inlineStr">
        <is>
          <t>Sprint 5</t>
        </is>
      </c>
      <c r="R180" s="2" t="inlineStr">
        <is>
          <t>24120255</t>
        </is>
      </c>
      <c r="S180" s="2" t="inlineStr">
        <is>
          <t>Tran Thien An</t>
        </is>
      </c>
      <c r="T180" s="3" t="n">
        <v>46354</v>
      </c>
      <c r="U180" s="3" t="n">
        <v>46368</v>
      </c>
      <c r="V180" s="2" t="n">
        <v>2</v>
      </c>
      <c r="W180" s="2" t="inlineStr">
        <is>
          <t>Medium</t>
        </is>
      </c>
      <c r="X180" s="2" t="inlineStr">
        <is>
          <t>Frontend / Backend Development</t>
        </is>
      </c>
      <c r="Y180" s="2" t="inlineStr">
        <is>
          <t>CIN-T-015, CIN-T-028</t>
        </is>
      </c>
      <c r="Z180" s="2" t="inlineStr">
        <is>
          <t>Hoàn tất kết quả gốc: Ngày / phim / phòng.</t>
        </is>
      </c>
      <c r="AA180" s="2" t="inlineStr">
        <is>
          <t>Kết quả gốc được kiểm tra và có bằng chứng gắn với CIN-SUB-179; ngoại lệ được ghi rõ.</t>
        </is>
      </c>
      <c r="AB180" s="2" t="inlineStr">
        <is>
          <t>Planned</t>
        </is>
      </c>
      <c r="AC180" s="2" t="inlineStr">
        <is>
          <t>Planned only; no completion evidence was transferred.</t>
        </is>
      </c>
    </row>
    <row r="181">
      <c r="A181" s="2" t="inlineStr">
        <is>
          <t>ORIG-180</t>
        </is>
      </c>
      <c r="B181" s="2" t="n">
        <v>181</v>
      </c>
      <c r="C181" s="2" t="inlineStr">
        <is>
          <t>Search / Filter</t>
        </is>
      </c>
      <c r="D181" s="2" t="n"/>
      <c r="E181" s="2" t="inlineStr">
        <is>
          <t>Tìm kiếm Booking</t>
        </is>
      </c>
      <c r="F181" s="2" t="inlineStr">
        <is>
          <t>Mã booking / Customer</t>
        </is>
      </c>
      <c r="G181" s="2" t="inlineStr">
        <is>
          <t>Cần thiết để hỗ trợ chức năng chính</t>
        </is>
      </c>
      <c r="H181" s="2" t="inlineStr">
        <is>
          <t>Sprint 5</t>
        </is>
      </c>
      <c r="I181" s="2" t="inlineStr">
        <is>
          <t>Chỉ giữ bộ lọc thực sự cần cho luồng sử dụng chính.</t>
        </is>
      </c>
      <c r="J181" s="2" t="inlineStr">
        <is>
          <t>PH-04</t>
        </is>
      </c>
      <c r="K181" s="2" t="inlineStr">
        <is>
          <t>Release, Verification &amp; Handover</t>
        </is>
      </c>
      <c r="L181" s="2" t="inlineStr">
        <is>
          <t>CIN-T-029</t>
        </is>
      </c>
      <c r="M181" s="2" t="inlineStr">
        <is>
          <t>Bổ sung tìm kiếm và bộ lọc cần thiết</t>
        </is>
      </c>
      <c r="N181" s="2" t="inlineStr">
        <is>
          <t>24120244</t>
        </is>
      </c>
      <c r="O181" s="2" t="inlineStr">
        <is>
          <t>Phan Van Viet</t>
        </is>
      </c>
      <c r="P181" s="2" t="inlineStr">
        <is>
          <t>CIN-SUB-180</t>
        </is>
      </c>
      <c r="Q181" s="2" t="inlineStr">
        <is>
          <t>Sprint 5</t>
        </is>
      </c>
      <c r="R181" s="2" t="inlineStr">
        <is>
          <t>24120244</t>
        </is>
      </c>
      <c r="S181" s="2" t="inlineStr">
        <is>
          <t>Phan Van Viet</t>
        </is>
      </c>
      <c r="T181" s="3" t="n">
        <v>46354</v>
      </c>
      <c r="U181" s="3" t="n">
        <v>46368</v>
      </c>
      <c r="V181" s="2" t="n">
        <v>3</v>
      </c>
      <c r="W181" s="2" t="inlineStr">
        <is>
          <t>Medium</t>
        </is>
      </c>
      <c r="X181" s="2" t="inlineStr">
        <is>
          <t>Frontend / Backend Development</t>
        </is>
      </c>
      <c r="Y181" s="2" t="inlineStr">
        <is>
          <t>CIN-T-015, CIN-T-028</t>
        </is>
      </c>
      <c r="Z181" s="2" t="inlineStr">
        <is>
          <t>Hoàn tất kết quả gốc: Mã booking / Customer.</t>
        </is>
      </c>
      <c r="AA181" s="2" t="inlineStr">
        <is>
          <t>Kết quả gốc được kiểm tra và có bằng chứng gắn với CIN-SUB-180; ngoại lệ được ghi rõ.</t>
        </is>
      </c>
      <c r="AB181" s="2" t="inlineStr">
        <is>
          <t>Planned</t>
        </is>
      </c>
      <c r="AC181" s="2" t="inlineStr">
        <is>
          <t>Planned only; no completion evidence was transferred.</t>
        </is>
      </c>
    </row>
    <row r="182">
      <c r="A182" s="2" t="inlineStr">
        <is>
          <t>ORIG-181</t>
        </is>
      </c>
      <c r="B182" s="2" t="n">
        <v>182</v>
      </c>
      <c r="C182" s="2" t="inlineStr">
        <is>
          <t>Search / Filter</t>
        </is>
      </c>
      <c r="D182" s="2" t="n"/>
      <c r="E182" s="2" t="inlineStr">
        <is>
          <t>Tìm kiếm User</t>
        </is>
      </c>
      <c r="F182" s="2" t="inlineStr">
        <is>
          <t>Tên / email / số điện thoại</t>
        </is>
      </c>
      <c r="G182" s="2" t="inlineStr">
        <is>
          <t>Cần thiết để hỗ trợ chức năng chính</t>
        </is>
      </c>
      <c r="H182" s="2" t="inlineStr">
        <is>
          <t>Sprint 5</t>
        </is>
      </c>
      <c r="I182" s="2" t="inlineStr">
        <is>
          <t>Chỉ giữ bộ lọc thực sự cần cho luồng sử dụng chính.</t>
        </is>
      </c>
      <c r="J182" s="2" t="inlineStr">
        <is>
          <t>PH-04</t>
        </is>
      </c>
      <c r="K182" s="2" t="inlineStr">
        <is>
          <t>Release, Verification &amp; Handover</t>
        </is>
      </c>
      <c r="L182" s="2" t="inlineStr">
        <is>
          <t>CIN-T-029</t>
        </is>
      </c>
      <c r="M182" s="2" t="inlineStr">
        <is>
          <t>Bổ sung tìm kiếm và bộ lọc cần thiết</t>
        </is>
      </c>
      <c r="N182" s="2" t="inlineStr">
        <is>
          <t>24120244</t>
        </is>
      </c>
      <c r="O182" s="2" t="inlineStr">
        <is>
          <t>Phan Van Viet</t>
        </is>
      </c>
      <c r="P182" s="2" t="inlineStr">
        <is>
          <t>CIN-SUB-181</t>
        </is>
      </c>
      <c r="Q182" s="2" t="inlineStr">
        <is>
          <t>Sprint 5</t>
        </is>
      </c>
      <c r="R182" s="2" t="inlineStr">
        <is>
          <t>24120271</t>
        </is>
      </c>
      <c r="S182" s="2" t="inlineStr">
        <is>
          <t>Nguyen Trung Chinh</t>
        </is>
      </c>
      <c r="T182" s="3" t="n">
        <v>46354</v>
      </c>
      <c r="U182" s="3" t="n">
        <v>46368</v>
      </c>
      <c r="V182" s="2" t="n">
        <v>2</v>
      </c>
      <c r="W182" s="2" t="inlineStr">
        <is>
          <t>Medium</t>
        </is>
      </c>
      <c r="X182" s="2" t="inlineStr">
        <is>
          <t>Frontend / Backend Development</t>
        </is>
      </c>
      <c r="Y182" s="2" t="inlineStr">
        <is>
          <t>CIN-T-015, CIN-T-028</t>
        </is>
      </c>
      <c r="Z182" s="2" t="inlineStr">
        <is>
          <t>Hoàn tất kết quả gốc: Tên / email / số điện thoại.</t>
        </is>
      </c>
      <c r="AA182" s="2" t="inlineStr">
        <is>
          <t>Kết quả gốc được kiểm tra và có bằng chứng gắn với CIN-SUB-181; ngoại lệ được ghi rõ.</t>
        </is>
      </c>
      <c r="AB182" s="2" t="inlineStr">
        <is>
          <t>Planned</t>
        </is>
      </c>
      <c r="AC182" s="2" t="inlineStr">
        <is>
          <t>Planned only; no completion evidence was transferred.</t>
        </is>
      </c>
    </row>
    <row r="183">
      <c r="A183" s="2" t="inlineStr">
        <is>
          <t>ORIG-182</t>
        </is>
      </c>
      <c r="B183" s="2" t="n">
        <v>183</v>
      </c>
      <c r="C183" s="2" t="inlineStr">
        <is>
          <t>Statistics &amp; Reports</t>
        </is>
      </c>
      <c r="D183" s="2" t="inlineStr">
        <is>
          <t>Thống kê</t>
        </is>
      </c>
      <c r="E183" s="2" t="inlineStr">
        <is>
          <t>Dashboard Statistics</t>
        </is>
      </c>
      <c r="F183" s="2" t="inlineStr">
        <is>
          <t>Phim, phòng, suất chiếu, vé, doanh thu</t>
        </is>
      </c>
      <c r="G183" s="2" t="inlineStr">
        <is>
          <t>Cần thiết để hỗ trợ chức năng chính</t>
        </is>
      </c>
      <c r="H183" s="2" t="inlineStr">
        <is>
          <t>Sprint 5</t>
        </is>
      </c>
      <c r="I183" s="2" t="inlineStr">
        <is>
          <t>Báo cáo cơ bản nếu có trong yêu cầu; export nâng cao là mở rộng.</t>
        </is>
      </c>
      <c r="J183" s="2" t="inlineStr">
        <is>
          <t>PH-04</t>
        </is>
      </c>
      <c r="K183" s="2" t="inlineStr">
        <is>
          <t>Release, Verification &amp; Handover</t>
        </is>
      </c>
      <c r="L183" s="2" t="inlineStr">
        <is>
          <t>CIN-T-030</t>
        </is>
      </c>
      <c r="M183" s="2" t="inlineStr">
        <is>
          <t>Xây báo cáo cơ bản và đánh giá export</t>
        </is>
      </c>
      <c r="N183" s="2" t="inlineStr">
        <is>
          <t>24120235</t>
        </is>
      </c>
      <c r="O183" s="2" t="inlineStr">
        <is>
          <t>Huynh Thanh Tu</t>
        </is>
      </c>
      <c r="P183" s="2" t="inlineStr">
        <is>
          <t>CIN-SUB-182</t>
        </is>
      </c>
      <c r="Q183" s="2" t="inlineStr">
        <is>
          <t>Sprint 5</t>
        </is>
      </c>
      <c r="R183" s="2" t="inlineStr">
        <is>
          <t>24120235</t>
        </is>
      </c>
      <c r="S183" s="2" t="inlineStr">
        <is>
          <t>Huynh Thanh Tu</t>
        </is>
      </c>
      <c r="T183" s="3" t="n">
        <v>46354</v>
      </c>
      <c r="U183" s="3" t="n">
        <v>46368</v>
      </c>
      <c r="V183" s="2" t="n">
        <v>2</v>
      </c>
      <c r="W183" s="2" t="inlineStr">
        <is>
          <t>Medium</t>
        </is>
      </c>
      <c r="X183" s="2" t="inlineStr">
        <is>
          <t>Frontend / Backend Development</t>
        </is>
      </c>
      <c r="Y183" s="2" t="inlineStr">
        <is>
          <t>CIN-T-017, CIN-T-023, CIN-T-024</t>
        </is>
      </c>
      <c r="Z183" s="2" t="inlineStr">
        <is>
          <t>Hoàn tất kết quả gốc: Phim, phòng, suất chiếu, vé, doanh thu.</t>
        </is>
      </c>
      <c r="AA183" s="2" t="inlineStr">
        <is>
          <t>Kết quả gốc được kiểm tra và có bằng chứng gắn với CIN-SUB-182; ngoại lệ được ghi rõ.</t>
        </is>
      </c>
      <c r="AB183" s="2" t="inlineStr">
        <is>
          <t>Planned</t>
        </is>
      </c>
      <c r="AC183" s="2" t="inlineStr">
        <is>
          <t>Planned only; no completion evidence was transferred.</t>
        </is>
      </c>
    </row>
    <row r="184">
      <c r="A184" s="2" t="inlineStr">
        <is>
          <t>ORIG-183</t>
        </is>
      </c>
      <c r="B184" s="2" t="n">
        <v>184</v>
      </c>
      <c r="C184" s="2" t="inlineStr">
        <is>
          <t>Statistics &amp; Reports</t>
        </is>
      </c>
      <c r="D184" s="2" t="n"/>
      <c r="E184" s="2" t="inlineStr">
        <is>
          <t>Thống kê doanh thu</t>
        </is>
      </c>
      <c r="F184" s="2" t="inlineStr">
        <is>
          <t>Ngày / tháng / năm</t>
        </is>
      </c>
      <c r="G184" s="2" t="inlineStr">
        <is>
          <t>Cần thiết để hỗ trợ chức năng chính</t>
        </is>
      </c>
      <c r="H184" s="2" t="inlineStr">
        <is>
          <t>Sprint 5</t>
        </is>
      </c>
      <c r="I184" s="2" t="inlineStr">
        <is>
          <t>Báo cáo cơ bản nếu có trong yêu cầu; export nâng cao là mở rộng.</t>
        </is>
      </c>
      <c r="J184" s="2" t="inlineStr">
        <is>
          <t>PH-04</t>
        </is>
      </c>
      <c r="K184" s="2" t="inlineStr">
        <is>
          <t>Release, Verification &amp; Handover</t>
        </is>
      </c>
      <c r="L184" s="2" t="inlineStr">
        <is>
          <t>CIN-T-030</t>
        </is>
      </c>
      <c r="M184" s="2" t="inlineStr">
        <is>
          <t>Xây báo cáo cơ bản và đánh giá export</t>
        </is>
      </c>
      <c r="N184" s="2" t="inlineStr">
        <is>
          <t>24120235</t>
        </is>
      </c>
      <c r="O184" s="2" t="inlineStr">
        <is>
          <t>Huynh Thanh Tu</t>
        </is>
      </c>
      <c r="P184" s="2" t="inlineStr">
        <is>
          <t>CIN-SUB-183</t>
        </is>
      </c>
      <c r="Q184" s="2" t="inlineStr">
        <is>
          <t>Sprint 5</t>
        </is>
      </c>
      <c r="R184" s="2" t="inlineStr">
        <is>
          <t>24120098</t>
        </is>
      </c>
      <c r="S184" s="2" t="inlineStr">
        <is>
          <t>Nguyen Quoc Nam</t>
        </is>
      </c>
      <c r="T184" s="3" t="n">
        <v>46354</v>
      </c>
      <c r="U184" s="3" t="n">
        <v>46368</v>
      </c>
      <c r="V184" s="2" t="n">
        <v>3</v>
      </c>
      <c r="W184" s="2" t="inlineStr">
        <is>
          <t>Medium</t>
        </is>
      </c>
      <c r="X184" s="2" t="inlineStr">
        <is>
          <t>Frontend / Backend Development</t>
        </is>
      </c>
      <c r="Y184" s="2" t="inlineStr">
        <is>
          <t>CIN-T-017, CIN-T-023, CIN-T-024</t>
        </is>
      </c>
      <c r="Z184" s="2" t="inlineStr">
        <is>
          <t>Hoàn tất kết quả gốc: Ngày / tháng / năm.</t>
        </is>
      </c>
      <c r="AA184" s="2" t="inlineStr">
        <is>
          <t>Kết quả gốc được kiểm tra và có bằng chứng gắn với CIN-SUB-183; ngoại lệ được ghi rõ.</t>
        </is>
      </c>
      <c r="AB184" s="2" t="inlineStr">
        <is>
          <t>Planned</t>
        </is>
      </c>
      <c r="AC184" s="2" t="inlineStr">
        <is>
          <t>Planned only; no completion evidence was transferred.</t>
        </is>
      </c>
    </row>
    <row r="185">
      <c r="A185" s="2" t="inlineStr">
        <is>
          <t>ORIG-184</t>
        </is>
      </c>
      <c r="B185" s="2" t="n">
        <v>185</v>
      </c>
      <c r="C185" s="2" t="inlineStr">
        <is>
          <t>Statistics &amp; Reports</t>
        </is>
      </c>
      <c r="D185" s="2" t="n"/>
      <c r="E185" s="2" t="inlineStr">
        <is>
          <t>Thống kê vé</t>
        </is>
      </c>
      <c r="F185" s="2" t="inlineStr">
        <is>
          <t>Số vé bán / hủy / sử dụng</t>
        </is>
      </c>
      <c r="G185" s="2" t="inlineStr">
        <is>
          <t>Cần thiết để hỗ trợ chức năng chính</t>
        </is>
      </c>
      <c r="H185" s="2" t="inlineStr">
        <is>
          <t>Sprint 5</t>
        </is>
      </c>
      <c r="I185" s="2" t="inlineStr">
        <is>
          <t>Báo cáo cơ bản nếu có trong yêu cầu; export nâng cao là mở rộng.</t>
        </is>
      </c>
      <c r="J185" s="2" t="inlineStr">
        <is>
          <t>PH-04</t>
        </is>
      </c>
      <c r="K185" s="2" t="inlineStr">
        <is>
          <t>Release, Verification &amp; Handover</t>
        </is>
      </c>
      <c r="L185" s="2" t="inlineStr">
        <is>
          <t>CIN-T-030</t>
        </is>
      </c>
      <c r="M185" s="2" t="inlineStr">
        <is>
          <t>Xây báo cáo cơ bản và đánh giá export</t>
        </is>
      </c>
      <c r="N185" s="2" t="inlineStr">
        <is>
          <t>24120235</t>
        </is>
      </c>
      <c r="O185" s="2" t="inlineStr">
        <is>
          <t>Huynh Thanh Tu</t>
        </is>
      </c>
      <c r="P185" s="2" t="inlineStr">
        <is>
          <t>CIN-SUB-184</t>
        </is>
      </c>
      <c r="Q185" s="2" t="inlineStr">
        <is>
          <t>Sprint 5</t>
        </is>
      </c>
      <c r="R185" s="2" t="inlineStr">
        <is>
          <t>24120255</t>
        </is>
      </c>
      <c r="S185" s="2" t="inlineStr">
        <is>
          <t>Tran Thien An</t>
        </is>
      </c>
      <c r="T185" s="3" t="n">
        <v>46354</v>
      </c>
      <c r="U185" s="3" t="n">
        <v>46368</v>
      </c>
      <c r="V185" s="2" t="n">
        <v>3</v>
      </c>
      <c r="W185" s="2" t="inlineStr">
        <is>
          <t>Medium</t>
        </is>
      </c>
      <c r="X185" s="2" t="inlineStr">
        <is>
          <t>Frontend / Backend Development</t>
        </is>
      </c>
      <c r="Y185" s="2" t="inlineStr">
        <is>
          <t>CIN-T-017, CIN-T-023, CIN-T-024</t>
        </is>
      </c>
      <c r="Z185" s="2" t="inlineStr">
        <is>
          <t>Hoàn tất kết quả gốc: Số vé bán / hủy / sử dụng.</t>
        </is>
      </c>
      <c r="AA185" s="2" t="inlineStr">
        <is>
          <t>Kết quả gốc được kiểm tra và có bằng chứng gắn với CIN-SUB-184; ngoại lệ được ghi rõ.</t>
        </is>
      </c>
      <c r="AB185" s="2" t="inlineStr">
        <is>
          <t>Planned</t>
        </is>
      </c>
      <c r="AC185" s="2" t="inlineStr">
        <is>
          <t>Planned only; no completion evidence was transferred.</t>
        </is>
      </c>
    </row>
    <row r="186">
      <c r="A186" s="2" t="inlineStr">
        <is>
          <t>ORIG-185</t>
        </is>
      </c>
      <c r="B186" s="2" t="n">
        <v>186</v>
      </c>
      <c r="C186" s="2" t="inlineStr">
        <is>
          <t>Statistics &amp; Reports</t>
        </is>
      </c>
      <c r="D186" s="2" t="n"/>
      <c r="E186" s="2" t="inlineStr">
        <is>
          <t>Thống kê phim</t>
        </is>
      </c>
      <c r="F186" s="2" t="inlineStr">
        <is>
          <t>Lượt đặt / doanh thu theo phim</t>
        </is>
      </c>
      <c r="G186" s="2" t="inlineStr">
        <is>
          <t>Cần thiết để hỗ trợ chức năng chính</t>
        </is>
      </c>
      <c r="H186" s="2" t="inlineStr">
        <is>
          <t>Sprint 5</t>
        </is>
      </c>
      <c r="I186" s="2" t="inlineStr">
        <is>
          <t>Báo cáo cơ bản nếu có trong yêu cầu; export nâng cao là mở rộng.</t>
        </is>
      </c>
      <c r="J186" s="2" t="inlineStr">
        <is>
          <t>PH-04</t>
        </is>
      </c>
      <c r="K186" s="2" t="inlineStr">
        <is>
          <t>Release, Verification &amp; Handover</t>
        </is>
      </c>
      <c r="L186" s="2" t="inlineStr">
        <is>
          <t>CIN-T-030</t>
        </is>
      </c>
      <c r="M186" s="2" t="inlineStr">
        <is>
          <t>Xây báo cáo cơ bản và đánh giá export</t>
        </is>
      </c>
      <c r="N186" s="2" t="inlineStr">
        <is>
          <t>24120235</t>
        </is>
      </c>
      <c r="O186" s="2" t="inlineStr">
        <is>
          <t>Huynh Thanh Tu</t>
        </is>
      </c>
      <c r="P186" s="2" t="inlineStr">
        <is>
          <t>CIN-SUB-185</t>
        </is>
      </c>
      <c r="Q186" s="2" t="inlineStr">
        <is>
          <t>Sprint 5</t>
        </is>
      </c>
      <c r="R186" s="2" t="inlineStr">
        <is>
          <t>24120271</t>
        </is>
      </c>
      <c r="S186" s="2" t="inlineStr">
        <is>
          <t>Nguyen Trung Chinh</t>
        </is>
      </c>
      <c r="T186" s="3" t="n">
        <v>46354</v>
      </c>
      <c r="U186" s="3" t="n">
        <v>46368</v>
      </c>
      <c r="V186" s="2" t="n">
        <v>3</v>
      </c>
      <c r="W186" s="2" t="inlineStr">
        <is>
          <t>Medium</t>
        </is>
      </c>
      <c r="X186" s="2" t="inlineStr">
        <is>
          <t>Frontend / Backend Development</t>
        </is>
      </c>
      <c r="Y186" s="2" t="inlineStr">
        <is>
          <t>CIN-T-017, CIN-T-023, CIN-T-024</t>
        </is>
      </c>
      <c r="Z186" s="2" t="inlineStr">
        <is>
          <t>Hoàn tất kết quả gốc: Lượt đặt / doanh thu theo phim.</t>
        </is>
      </c>
      <c r="AA186" s="2" t="inlineStr">
        <is>
          <t>Kết quả gốc được kiểm tra và có bằng chứng gắn với CIN-SUB-185; ngoại lệ được ghi rõ.</t>
        </is>
      </c>
      <c r="AB186" s="2" t="inlineStr">
        <is>
          <t>Planned</t>
        </is>
      </c>
      <c r="AC186" s="2" t="inlineStr">
        <is>
          <t>Planned only; no completion evidence was transferred.</t>
        </is>
      </c>
    </row>
    <row r="187">
      <c r="A187" s="2" t="inlineStr">
        <is>
          <t>ORIG-186</t>
        </is>
      </c>
      <c r="B187" s="2" t="n">
        <v>187</v>
      </c>
      <c r="C187" s="2" t="inlineStr">
        <is>
          <t>Statistics &amp; Reports</t>
        </is>
      </c>
      <c r="D187" s="2" t="n"/>
      <c r="E187" s="2" t="inlineStr">
        <is>
          <t>Thống kê suất chiếu</t>
        </is>
      </c>
      <c r="F187" s="2" t="inlineStr">
        <is>
          <t>Số vé và tỷ lệ lấp đầy</t>
        </is>
      </c>
      <c r="G187" s="2" t="inlineStr">
        <is>
          <t>Cần thiết để hỗ trợ chức năng chính</t>
        </is>
      </c>
      <c r="H187" s="2" t="inlineStr">
        <is>
          <t>Sprint 5</t>
        </is>
      </c>
      <c r="I187" s="2" t="inlineStr">
        <is>
          <t>Báo cáo cơ bản nếu có trong yêu cầu; export nâng cao là mở rộng.</t>
        </is>
      </c>
      <c r="J187" s="2" t="inlineStr">
        <is>
          <t>PH-04</t>
        </is>
      </c>
      <c r="K187" s="2" t="inlineStr">
        <is>
          <t>Release, Verification &amp; Handover</t>
        </is>
      </c>
      <c r="L187" s="2" t="inlineStr">
        <is>
          <t>CIN-T-030</t>
        </is>
      </c>
      <c r="M187" s="2" t="inlineStr">
        <is>
          <t>Xây báo cáo cơ bản và đánh giá export</t>
        </is>
      </c>
      <c r="N187" s="2" t="inlineStr">
        <is>
          <t>24120235</t>
        </is>
      </c>
      <c r="O187" s="2" t="inlineStr">
        <is>
          <t>Huynh Thanh Tu</t>
        </is>
      </c>
      <c r="P187" s="2" t="inlineStr">
        <is>
          <t>CIN-SUB-186</t>
        </is>
      </c>
      <c r="Q187" s="2" t="inlineStr">
        <is>
          <t>Sprint 5</t>
        </is>
      </c>
      <c r="R187" s="2" t="inlineStr">
        <is>
          <t>24120235</t>
        </is>
      </c>
      <c r="S187" s="2" t="inlineStr">
        <is>
          <t>Huynh Thanh Tu</t>
        </is>
      </c>
      <c r="T187" s="3" t="n">
        <v>46354</v>
      </c>
      <c r="U187" s="3" t="n">
        <v>46368</v>
      </c>
      <c r="V187" s="2" t="n">
        <v>3</v>
      </c>
      <c r="W187" s="2" t="inlineStr">
        <is>
          <t>Medium</t>
        </is>
      </c>
      <c r="X187" s="2" t="inlineStr">
        <is>
          <t>Frontend / Backend Development</t>
        </is>
      </c>
      <c r="Y187" s="2" t="inlineStr">
        <is>
          <t>CIN-T-017, CIN-T-023, CIN-T-024</t>
        </is>
      </c>
      <c r="Z187" s="2" t="inlineStr">
        <is>
          <t>Hoàn tất kết quả gốc: Số vé và tỷ lệ lấp đầy.</t>
        </is>
      </c>
      <c r="AA187" s="2" t="inlineStr">
        <is>
          <t>Kết quả gốc được kiểm tra và có bằng chứng gắn với CIN-SUB-186; ngoại lệ được ghi rõ.</t>
        </is>
      </c>
      <c r="AB187" s="2" t="inlineStr">
        <is>
          <t>Planned</t>
        </is>
      </c>
      <c r="AC187" s="2" t="inlineStr">
        <is>
          <t>Planned only; no completion evidence was transferred.</t>
        </is>
      </c>
    </row>
    <row r="188">
      <c r="A188" s="2" t="inlineStr">
        <is>
          <t>ORIG-187</t>
        </is>
      </c>
      <c r="B188" s="2" t="n">
        <v>188</v>
      </c>
      <c r="C188" s="2" t="inlineStr">
        <is>
          <t>Statistics &amp; Reports</t>
        </is>
      </c>
      <c r="D188" s="2" t="n"/>
      <c r="E188" s="2" t="inlineStr">
        <is>
          <t>Thống kê phòng</t>
        </is>
      </c>
      <c r="F188" s="2" t="inlineStr">
        <is>
          <t>Tỷ lệ sử dụng phòng / ghế</t>
        </is>
      </c>
      <c r="G188" s="2" t="inlineStr">
        <is>
          <t>Cần thiết để hỗ trợ chức năng chính</t>
        </is>
      </c>
      <c r="H188" s="2" t="inlineStr">
        <is>
          <t>Sprint 5</t>
        </is>
      </c>
      <c r="I188" s="2" t="inlineStr">
        <is>
          <t>Báo cáo cơ bản nếu có trong yêu cầu; export nâng cao là mở rộng.</t>
        </is>
      </c>
      <c r="J188" s="2" t="inlineStr">
        <is>
          <t>PH-04</t>
        </is>
      </c>
      <c r="K188" s="2" t="inlineStr">
        <is>
          <t>Release, Verification &amp; Handover</t>
        </is>
      </c>
      <c r="L188" s="2" t="inlineStr">
        <is>
          <t>CIN-T-030</t>
        </is>
      </c>
      <c r="M188" s="2" t="inlineStr">
        <is>
          <t>Xây báo cáo cơ bản và đánh giá export</t>
        </is>
      </c>
      <c r="N188" s="2" t="inlineStr">
        <is>
          <t>24120235</t>
        </is>
      </c>
      <c r="O188" s="2" t="inlineStr">
        <is>
          <t>Huynh Thanh Tu</t>
        </is>
      </c>
      <c r="P188" s="2" t="inlineStr">
        <is>
          <t>CIN-SUB-187</t>
        </is>
      </c>
      <c r="Q188" s="2" t="inlineStr">
        <is>
          <t>Sprint 5</t>
        </is>
      </c>
      <c r="R188" s="2" t="inlineStr">
        <is>
          <t>24120244</t>
        </is>
      </c>
      <c r="S188" s="2" t="inlineStr">
        <is>
          <t>Phan Van Viet</t>
        </is>
      </c>
      <c r="T188" s="3" t="n">
        <v>46354</v>
      </c>
      <c r="U188" s="3" t="n">
        <v>46368</v>
      </c>
      <c r="V188" s="2" t="n">
        <v>3</v>
      </c>
      <c r="W188" s="2" t="inlineStr">
        <is>
          <t>Medium</t>
        </is>
      </c>
      <c r="X188" s="2" t="inlineStr">
        <is>
          <t>Frontend / Backend Development</t>
        </is>
      </c>
      <c r="Y188" s="2" t="inlineStr">
        <is>
          <t>CIN-T-017, CIN-T-023, CIN-T-024</t>
        </is>
      </c>
      <c r="Z188" s="2" t="inlineStr">
        <is>
          <t>Hoàn tất kết quả gốc: Tỷ lệ sử dụng phòng / ghế.</t>
        </is>
      </c>
      <c r="AA188" s="2" t="inlineStr">
        <is>
          <t>Kết quả gốc được kiểm tra và có bằng chứng gắn với CIN-SUB-187; ngoại lệ được ghi rõ.</t>
        </is>
      </c>
      <c r="AB188" s="2" t="inlineStr">
        <is>
          <t>Planned</t>
        </is>
      </c>
      <c r="AC188" s="2" t="inlineStr">
        <is>
          <t>Planned only; no completion evidence was transferred.</t>
        </is>
      </c>
    </row>
    <row r="189">
      <c r="A189" s="2" t="inlineStr">
        <is>
          <t>ORIG-188</t>
        </is>
      </c>
      <c r="B189" s="2" t="n">
        <v>189</v>
      </c>
      <c r="C189" s="2" t="inlineStr">
        <is>
          <t>Statistics &amp; Reports</t>
        </is>
      </c>
      <c r="D189" s="2" t="n"/>
      <c r="E189" s="2" t="inlineStr">
        <is>
          <t>Report Export</t>
        </is>
      </c>
      <c r="F189" s="2" t="inlineStr">
        <is>
          <t>Export CSV / Excel / PDF nếu cần</t>
        </is>
      </c>
      <c r="G189" s="2" t="inlineStr">
        <is>
          <t>Mở rộng</t>
        </is>
      </c>
      <c r="H189" s="2" t="inlineStr">
        <is>
          <t>Sprint 5</t>
        </is>
      </c>
      <c r="I189" s="2" t="inlineStr">
        <is>
          <t>Mô tả nguồn có điều kiện; xác nhận yêu cầu PA/rubric trước khi đưa vào baseline.</t>
        </is>
      </c>
      <c r="J189" s="2" t="inlineStr">
        <is>
          <t>PH-04</t>
        </is>
      </c>
      <c r="K189" s="2" t="inlineStr">
        <is>
          <t>Release, Verification &amp; Handover</t>
        </is>
      </c>
      <c r="L189" s="2" t="inlineStr">
        <is>
          <t>CIN-T-030</t>
        </is>
      </c>
      <c r="M189" s="2" t="inlineStr">
        <is>
          <t>Xây báo cáo cơ bản và đánh giá export</t>
        </is>
      </c>
      <c r="N189" s="2" t="inlineStr">
        <is>
          <t>24120235</t>
        </is>
      </c>
      <c r="O189" s="2" t="inlineStr">
        <is>
          <t>Huynh Thanh Tu</t>
        </is>
      </c>
      <c r="P189" s="2" t="inlineStr">
        <is>
          <t>CIN-SUB-188</t>
        </is>
      </c>
      <c r="Q189" s="2" t="inlineStr">
        <is>
          <t>Sprint 5</t>
        </is>
      </c>
      <c r="R189" s="2" t="inlineStr">
        <is>
          <t>24120098</t>
        </is>
      </c>
      <c r="S189" s="2" t="inlineStr">
        <is>
          <t>Nguyen Quoc Nam</t>
        </is>
      </c>
      <c r="T189" s="3" t="n">
        <v>46354</v>
      </c>
      <c r="U189" s="3" t="n">
        <v>46368</v>
      </c>
      <c r="V189" s="2" t="n">
        <v>1</v>
      </c>
      <c r="W189" s="2" t="inlineStr">
        <is>
          <t>Medium</t>
        </is>
      </c>
      <c r="X189" s="2" t="inlineStr">
        <is>
          <t>Frontend / Backend Development</t>
        </is>
      </c>
      <c r="Y189" s="2" t="inlineStr">
        <is>
          <t>CIN-T-017, CIN-T-023, CIN-T-024</t>
        </is>
      </c>
      <c r="Z189" s="2" t="inlineStr">
        <is>
          <t>Hoàn tất kết quả gốc: Export CSV / Excel / PDF nếu cần.</t>
        </is>
      </c>
      <c r="AA189" s="2" t="inlineStr">
        <is>
          <t>Kết quả gốc được kiểm tra và có bằng chứng gắn với CIN-SUB-188; ngoại lệ được ghi rõ.</t>
        </is>
      </c>
      <c r="AB189" s="2" t="inlineStr">
        <is>
          <t>Planned</t>
        </is>
      </c>
      <c r="AC189" s="2" t="inlineStr">
        <is>
          <t>Planned only; no completion evidence was transferred. Conditional/optional; confirm rubric, infrastructure and remaining capacity.</t>
        </is>
      </c>
    </row>
    <row r="190">
      <c r="A190" s="2" t="inlineStr">
        <is>
          <t>ORIG-189</t>
        </is>
      </c>
      <c r="B190" s="2" t="n">
        <v>190</v>
      </c>
      <c r="C190" s="2" t="inlineStr">
        <is>
          <t>AI Integration</t>
        </is>
      </c>
      <c r="D190" s="2" t="inlineStr">
        <is>
          <t>Chức năng AI</t>
        </is>
      </c>
      <c r="E190" s="2" t="inlineStr">
        <is>
          <t>Xác định chức năng AI</t>
        </is>
      </c>
      <c r="F190" s="2" t="inlineStr">
        <is>
          <t>Xác định AI được sử dụng ở đâu và mục đích gì</t>
        </is>
      </c>
      <c r="G190" s="2" t="inlineStr">
        <is>
          <t>Mở rộng</t>
        </is>
      </c>
      <c r="H190" s="2" t="inlineStr">
        <is>
          <t>Sprint 5</t>
        </is>
      </c>
      <c r="I190" s="2" t="inlineStr">
        <is>
          <t>Tính năng cộng thêm; chỉ làm sau khi luồng cốt lõi ổn định.</t>
        </is>
      </c>
      <c r="J190" s="2" t="inlineStr">
        <is>
          <t>PH-04</t>
        </is>
      </c>
      <c r="K190" s="2" t="inlineStr">
        <is>
          <t>Release, Verification &amp; Handover</t>
        </is>
      </c>
      <c r="L190" s="2" t="inlineStr">
        <is>
          <t>CIN-T-031</t>
        </is>
      </c>
      <c r="M190" s="2" t="inlineStr">
        <is>
          <t>Đánh giá và triển khai AI movie assistant tùy chọn</t>
        </is>
      </c>
      <c r="N190" s="2" t="inlineStr">
        <is>
          <t>24120255</t>
        </is>
      </c>
      <c r="O190" s="2" t="inlineStr">
        <is>
          <t>Tran Thien An</t>
        </is>
      </c>
      <c r="P190" s="2" t="inlineStr">
        <is>
          <t>CIN-SUB-189</t>
        </is>
      </c>
      <c r="Q190" s="2" t="inlineStr">
        <is>
          <t>Sprint 5</t>
        </is>
      </c>
      <c r="R190" s="2" t="inlineStr">
        <is>
          <t>24120255</t>
        </is>
      </c>
      <c r="S190" s="2" t="inlineStr">
        <is>
          <t>Tran Thien An</t>
        </is>
      </c>
      <c r="T190" s="3" t="n">
        <v>46354</v>
      </c>
      <c r="U190" s="3" t="n">
        <v>46368</v>
      </c>
      <c r="V190" s="2" t="n">
        <v>2</v>
      </c>
      <c r="W190" s="2" t="inlineStr">
        <is>
          <t>Low</t>
        </is>
      </c>
      <c r="X190" s="2" t="inlineStr">
        <is>
          <t>Optional / AI</t>
        </is>
      </c>
      <c r="Y190" s="2" t="inlineStr">
        <is>
          <t>CIN-T-025, CIN-T-029</t>
        </is>
      </c>
      <c r="Z190" s="2" t="inlineStr">
        <is>
          <t>Hoàn tất kết quả gốc: Xác định AI được sử dụng ở đâu và mục đích gì.</t>
        </is>
      </c>
      <c r="AA190" s="2" t="inlineStr">
        <is>
          <t>Kết quả gốc được kiểm tra và có bằng chứng gắn với CIN-SUB-189; ngoại lệ được ghi rõ.</t>
        </is>
      </c>
      <c r="AB190" s="2" t="inlineStr">
        <is>
          <t>Planned</t>
        </is>
      </c>
      <c r="AC190" s="2" t="inlineStr">
        <is>
          <t>Planned only; no completion evidence was transferred. Conditional/optional; confirm rubric, infrastructure and remaining capacity.</t>
        </is>
      </c>
    </row>
    <row r="191">
      <c r="A191" s="2" t="inlineStr">
        <is>
          <t>ORIG-190</t>
        </is>
      </c>
      <c r="B191" s="2" t="n">
        <v>191</v>
      </c>
      <c r="C191" s="2" t="inlineStr">
        <is>
          <t>AI Integration</t>
        </is>
      </c>
      <c r="D191" s="2" t="n"/>
      <c r="E191" s="2" t="inlineStr">
        <is>
          <t>AI Movie Assistant</t>
        </is>
      </c>
      <c r="F191" s="2" t="inlineStr">
        <is>
          <t>Chatbot hỗ trợ tìm hiểu phim / lịch chiếu</t>
        </is>
      </c>
      <c r="G191" s="2" t="inlineStr">
        <is>
          <t>Mở rộng</t>
        </is>
      </c>
      <c r="H191" s="2" t="inlineStr">
        <is>
          <t>Sprint 5</t>
        </is>
      </c>
      <c r="I191" s="2" t="inlineStr">
        <is>
          <t>AI là tính năng cộng thêm; chỉ làm sau luồng đặt vé cốt lõi và khi còn thời gian.</t>
        </is>
      </c>
      <c r="J191" s="2" t="inlineStr">
        <is>
          <t>PH-04</t>
        </is>
      </c>
      <c r="K191" s="2" t="inlineStr">
        <is>
          <t>Release, Verification &amp; Handover</t>
        </is>
      </c>
      <c r="L191" s="2" t="inlineStr">
        <is>
          <t>CIN-T-031</t>
        </is>
      </c>
      <c r="M191" s="2" t="inlineStr">
        <is>
          <t>Đánh giá và triển khai AI movie assistant tùy chọn</t>
        </is>
      </c>
      <c r="N191" s="2" t="inlineStr">
        <is>
          <t>24120255</t>
        </is>
      </c>
      <c r="O191" s="2" t="inlineStr">
        <is>
          <t>Tran Thien An</t>
        </is>
      </c>
      <c r="P191" s="2" t="inlineStr">
        <is>
          <t>CIN-SUB-190</t>
        </is>
      </c>
      <c r="Q191" s="2" t="inlineStr">
        <is>
          <t>Sprint 5</t>
        </is>
      </c>
      <c r="R191" s="2" t="inlineStr">
        <is>
          <t>24120271</t>
        </is>
      </c>
      <c r="S191" s="2" t="inlineStr">
        <is>
          <t>Nguyen Trung Chinh</t>
        </is>
      </c>
      <c r="T191" s="3" t="n">
        <v>46354</v>
      </c>
      <c r="U191" s="3" t="n">
        <v>46368</v>
      </c>
      <c r="V191" s="2" t="n">
        <v>2</v>
      </c>
      <c r="W191" s="2" t="inlineStr">
        <is>
          <t>Low</t>
        </is>
      </c>
      <c r="X191" s="2" t="inlineStr">
        <is>
          <t>Optional / AI</t>
        </is>
      </c>
      <c r="Y191" s="2" t="inlineStr">
        <is>
          <t>CIN-T-025, CIN-T-029</t>
        </is>
      </c>
      <c r="Z191" s="2" t="inlineStr">
        <is>
          <t>Hoàn tất kết quả gốc: Chatbot hỗ trợ tìm hiểu phim / lịch chiếu.</t>
        </is>
      </c>
      <c r="AA191" s="2" t="inlineStr">
        <is>
          <t>Kết quả gốc được kiểm tra và có bằng chứng gắn với CIN-SUB-190; ngoại lệ được ghi rõ.</t>
        </is>
      </c>
      <c r="AB191" s="2" t="inlineStr">
        <is>
          <t>Planned</t>
        </is>
      </c>
      <c r="AC191" s="2" t="inlineStr">
        <is>
          <t>Planned only; no completion evidence was transferred. Conditional/optional; confirm rubric, infrastructure and remaining capacity.</t>
        </is>
      </c>
    </row>
    <row r="192">
      <c r="A192" s="2" t="inlineStr">
        <is>
          <t>ORIG-191</t>
        </is>
      </c>
      <c r="B192" s="2" t="n">
        <v>192</v>
      </c>
      <c r="C192" s="2" t="inlineStr">
        <is>
          <t>AI Integration</t>
        </is>
      </c>
      <c r="D192" s="2" t="n"/>
      <c r="E192" s="2" t="inlineStr">
        <is>
          <t>AI Movie Recommendation</t>
        </is>
      </c>
      <c r="F192" s="2" t="inlineStr">
        <is>
          <t>Gợi ý phim dựa trên yêu cầu người dùng nếu triển khai</t>
        </is>
      </c>
      <c r="G192" s="2" t="inlineStr">
        <is>
          <t>Mở rộng</t>
        </is>
      </c>
      <c r="H192" s="2" t="inlineStr">
        <is>
          <t>Sprint 5</t>
        </is>
      </c>
      <c r="I192" s="2" t="inlineStr">
        <is>
          <t>Mô tả nguồn có điều kiện; xác nhận yêu cầu PA/rubric trước khi đưa vào baseline.</t>
        </is>
      </c>
      <c r="J192" s="2" t="inlineStr">
        <is>
          <t>PH-04</t>
        </is>
      </c>
      <c r="K192" s="2" t="inlineStr">
        <is>
          <t>Release, Verification &amp; Handover</t>
        </is>
      </c>
      <c r="L192" s="2" t="inlineStr">
        <is>
          <t>CIN-T-031</t>
        </is>
      </c>
      <c r="M192" s="2" t="inlineStr">
        <is>
          <t>Đánh giá và triển khai AI movie assistant tùy chọn</t>
        </is>
      </c>
      <c r="N192" s="2" t="inlineStr">
        <is>
          <t>24120255</t>
        </is>
      </c>
      <c r="O192" s="2" t="inlineStr">
        <is>
          <t>Tran Thien An</t>
        </is>
      </c>
      <c r="P192" s="2" t="inlineStr">
        <is>
          <t>CIN-SUB-191</t>
        </is>
      </c>
      <c r="Q192" s="2" t="inlineStr">
        <is>
          <t>Sprint 5</t>
        </is>
      </c>
      <c r="R192" s="2" t="inlineStr">
        <is>
          <t>24120098</t>
        </is>
      </c>
      <c r="S192" s="2" t="inlineStr">
        <is>
          <t>Nguyen Quoc Nam</t>
        </is>
      </c>
      <c r="T192" s="3" t="n">
        <v>46354</v>
      </c>
      <c r="U192" s="3" t="n">
        <v>46368</v>
      </c>
      <c r="V192" s="2" t="n">
        <v>2</v>
      </c>
      <c r="W192" s="2" t="inlineStr">
        <is>
          <t>Low</t>
        </is>
      </c>
      <c r="X192" s="2" t="inlineStr">
        <is>
          <t>Optional / AI</t>
        </is>
      </c>
      <c r="Y192" s="2" t="inlineStr">
        <is>
          <t>CIN-T-025, CIN-T-029</t>
        </is>
      </c>
      <c r="Z192" s="2" t="inlineStr">
        <is>
          <t>Hoàn tất kết quả gốc: Gợi ý phim dựa trên yêu cầu người dùng nếu triển khai.</t>
        </is>
      </c>
      <c r="AA192" s="2" t="inlineStr">
        <is>
          <t>Kết quả gốc được kiểm tra và có bằng chứng gắn với CIN-SUB-191; ngoại lệ được ghi rõ.</t>
        </is>
      </c>
      <c r="AB192" s="2" t="inlineStr">
        <is>
          <t>Planned</t>
        </is>
      </c>
      <c r="AC192" s="2" t="inlineStr">
        <is>
          <t>Planned only; no completion evidence was transferred. Conditional/optional; confirm rubric, infrastructure and remaining capacity.</t>
        </is>
      </c>
    </row>
    <row r="193">
      <c r="A193" s="2" t="inlineStr">
        <is>
          <t>ORIG-192</t>
        </is>
      </c>
      <c r="B193" s="2" t="n">
        <v>193</v>
      </c>
      <c r="C193" s="2" t="inlineStr">
        <is>
          <t>AI Integration</t>
        </is>
      </c>
      <c r="D193" s="2" t="n"/>
      <c r="E193" s="2" t="inlineStr">
        <is>
          <t>AI API Integration</t>
        </is>
      </c>
      <c r="F193" s="2" t="inlineStr">
        <is>
          <t>Kết nối LLM API / AI service</t>
        </is>
      </c>
      <c r="G193" s="2" t="inlineStr">
        <is>
          <t>Mở rộng</t>
        </is>
      </c>
      <c r="H193" s="2" t="inlineStr">
        <is>
          <t>Sprint 5</t>
        </is>
      </c>
      <c r="I193" s="2" t="inlineStr">
        <is>
          <t>AI là tính năng cộng thêm; chỉ làm sau luồng đặt vé cốt lõi và khi còn thời gian.</t>
        </is>
      </c>
      <c r="J193" s="2" t="inlineStr">
        <is>
          <t>PH-04</t>
        </is>
      </c>
      <c r="K193" s="2" t="inlineStr">
        <is>
          <t>Release, Verification &amp; Handover</t>
        </is>
      </c>
      <c r="L193" s="2" t="inlineStr">
        <is>
          <t>CIN-T-031</t>
        </is>
      </c>
      <c r="M193" s="2" t="inlineStr">
        <is>
          <t>Đánh giá và triển khai AI movie assistant tùy chọn</t>
        </is>
      </c>
      <c r="N193" s="2" t="inlineStr">
        <is>
          <t>24120255</t>
        </is>
      </c>
      <c r="O193" s="2" t="inlineStr">
        <is>
          <t>Tran Thien An</t>
        </is>
      </c>
      <c r="P193" s="2" t="inlineStr">
        <is>
          <t>CIN-SUB-192</t>
        </is>
      </c>
      <c r="Q193" s="2" t="inlineStr">
        <is>
          <t>Sprint 5</t>
        </is>
      </c>
      <c r="R193" s="2" t="inlineStr">
        <is>
          <t>24120235</t>
        </is>
      </c>
      <c r="S193" s="2" t="inlineStr">
        <is>
          <t>Huynh Thanh Tu</t>
        </is>
      </c>
      <c r="T193" s="3" t="n">
        <v>46354</v>
      </c>
      <c r="U193" s="3" t="n">
        <v>46368</v>
      </c>
      <c r="V193" s="2" t="n">
        <v>2</v>
      </c>
      <c r="W193" s="2" t="inlineStr">
        <is>
          <t>Low</t>
        </is>
      </c>
      <c r="X193" s="2" t="inlineStr">
        <is>
          <t>Optional / AI</t>
        </is>
      </c>
      <c r="Y193" s="2" t="inlineStr">
        <is>
          <t>CIN-T-025, CIN-T-029</t>
        </is>
      </c>
      <c r="Z193" s="2" t="inlineStr">
        <is>
          <t>Hoàn tất kết quả gốc: Kết nối LLM API / AI service.</t>
        </is>
      </c>
      <c r="AA193" s="2" t="inlineStr">
        <is>
          <t>Kết quả gốc được kiểm tra và có bằng chứng gắn với CIN-SUB-192; ngoại lệ được ghi rõ.</t>
        </is>
      </c>
      <c r="AB193" s="2" t="inlineStr">
        <is>
          <t>Planned</t>
        </is>
      </c>
      <c r="AC193" s="2" t="inlineStr">
        <is>
          <t>Planned only; no completion evidence was transferred. Conditional/optional; confirm rubric, infrastructure and remaining capacity.</t>
        </is>
      </c>
    </row>
    <row r="194">
      <c r="A194" s="2" t="inlineStr">
        <is>
          <t>ORIG-193</t>
        </is>
      </c>
      <c r="B194" s="2" t="n">
        <v>194</v>
      </c>
      <c r="C194" s="2" t="inlineStr">
        <is>
          <t>AI Integration</t>
        </is>
      </c>
      <c r="D194" s="2" t="n"/>
      <c r="E194" s="2" t="inlineStr">
        <is>
          <t>AI Error Handling</t>
        </is>
      </c>
      <c r="F194" s="2" t="inlineStr">
        <is>
          <t>Xử lý timeout / quota / API error</t>
        </is>
      </c>
      <c r="G194" s="2" t="inlineStr">
        <is>
          <t>Mở rộng</t>
        </is>
      </c>
      <c r="H194" s="2" t="inlineStr">
        <is>
          <t>Sprint 5</t>
        </is>
      </c>
      <c r="I194" s="2" t="inlineStr">
        <is>
          <t>AI là tính năng cộng thêm; chỉ làm sau luồng đặt vé cốt lõi và khi còn thời gian.</t>
        </is>
      </c>
      <c r="J194" s="2" t="inlineStr">
        <is>
          <t>PH-04</t>
        </is>
      </c>
      <c r="K194" s="2" t="inlineStr">
        <is>
          <t>Release, Verification &amp; Handover</t>
        </is>
      </c>
      <c r="L194" s="2" t="inlineStr">
        <is>
          <t>CIN-T-031</t>
        </is>
      </c>
      <c r="M194" s="2" t="inlineStr">
        <is>
          <t>Đánh giá và triển khai AI movie assistant tùy chọn</t>
        </is>
      </c>
      <c r="N194" s="2" t="inlineStr">
        <is>
          <t>24120255</t>
        </is>
      </c>
      <c r="O194" s="2" t="inlineStr">
        <is>
          <t>Tran Thien An</t>
        </is>
      </c>
      <c r="P194" s="2" t="inlineStr">
        <is>
          <t>CIN-SUB-193</t>
        </is>
      </c>
      <c r="Q194" s="2" t="inlineStr">
        <is>
          <t>Sprint 5</t>
        </is>
      </c>
      <c r="R194" s="2" t="inlineStr">
        <is>
          <t>24120244</t>
        </is>
      </c>
      <c r="S194" s="2" t="inlineStr">
        <is>
          <t>Phan Van Viet</t>
        </is>
      </c>
      <c r="T194" s="3" t="n">
        <v>46354</v>
      </c>
      <c r="U194" s="3" t="n">
        <v>46368</v>
      </c>
      <c r="V194" s="2" t="n">
        <v>2</v>
      </c>
      <c r="W194" s="2" t="inlineStr">
        <is>
          <t>Low</t>
        </is>
      </c>
      <c r="X194" s="2" t="inlineStr">
        <is>
          <t>Optional / AI</t>
        </is>
      </c>
      <c r="Y194" s="2" t="inlineStr">
        <is>
          <t>CIN-T-025, CIN-T-029</t>
        </is>
      </c>
      <c r="Z194" s="2" t="inlineStr">
        <is>
          <t>Hoàn tất kết quả gốc: Xử lý timeout / quota / API error.</t>
        </is>
      </c>
      <c r="AA194" s="2" t="inlineStr">
        <is>
          <t>Kết quả gốc được kiểm tra và có bằng chứng gắn với CIN-SUB-193; ngoại lệ được ghi rõ.</t>
        </is>
      </c>
      <c r="AB194" s="2" t="inlineStr">
        <is>
          <t>Planned</t>
        </is>
      </c>
      <c r="AC194" s="2" t="inlineStr">
        <is>
          <t>Planned only; no completion evidence was transferred. Conditional/optional; confirm rubric, infrastructure and remaining capacity.</t>
        </is>
      </c>
    </row>
    <row r="195">
      <c r="A195" s="2" t="inlineStr">
        <is>
          <t>ORIG-194</t>
        </is>
      </c>
      <c r="B195" s="2" t="n">
        <v>195</v>
      </c>
      <c r="C195" s="2" t="inlineStr">
        <is>
          <t>Validation &amp; Error Handling</t>
        </is>
      </c>
      <c r="D195" s="2" t="inlineStr">
        <is>
          <t>Xử lý lỗi toàn hệ thống</t>
        </is>
      </c>
      <c r="E195" s="2" t="inlineStr">
        <is>
          <t>Backend Validation</t>
        </is>
      </c>
      <c r="F195" s="2" t="inlineStr">
        <is>
          <t>Kiểm tra dữ liệu đầu vào</t>
        </is>
      </c>
      <c r="G195" s="2" t="inlineStr">
        <is>
          <t>Bắt buộc</t>
        </is>
      </c>
      <c r="H195" s="2" t="inlineStr">
        <is>
          <t>Sprint 3</t>
        </is>
      </c>
      <c r="I195" s="2" t="inlineStr">
        <is>
          <t>Thiết kế sớm và thực hiện xuyên suốt, không dồn hết về cuối.</t>
        </is>
      </c>
      <c r="J195" s="2" t="inlineStr">
        <is>
          <t>PH-03</t>
        </is>
      </c>
      <c r="K195" s="2" t="inlineStr">
        <is>
          <t>Core Product Build</t>
        </is>
      </c>
      <c r="L195" s="2" t="inlineStr">
        <is>
          <t>CIN-T-032</t>
        </is>
      </c>
      <c r="M195" s="2" t="inlineStr">
        <is>
          <t>Chuẩn hóa validation và xử lý lỗi backend/frontend</t>
        </is>
      </c>
      <c r="N195" s="2" t="inlineStr">
        <is>
          <t>24120244</t>
        </is>
      </c>
      <c r="O195" s="2" t="inlineStr">
        <is>
          <t>Phan Van Viet</t>
        </is>
      </c>
      <c r="P195" s="2" t="inlineStr">
        <is>
          <t>CIN-SUB-194</t>
        </is>
      </c>
      <c r="Q195" s="2" t="inlineStr">
        <is>
          <t>Sprint 4</t>
        </is>
      </c>
      <c r="R195" s="2" t="inlineStr">
        <is>
          <t>24120244</t>
        </is>
      </c>
      <c r="S195" s="2" t="inlineStr">
        <is>
          <t>Phan Van Viet</t>
        </is>
      </c>
      <c r="T195" s="3" t="n">
        <v>46340</v>
      </c>
      <c r="U195" s="3" t="n">
        <v>46353</v>
      </c>
      <c r="V195" s="2" t="n">
        <v>3</v>
      </c>
      <c r="W195" s="2" t="inlineStr">
        <is>
          <t>High</t>
        </is>
      </c>
      <c r="X195" s="2" t="inlineStr">
        <is>
          <t>Quality / Reliability</t>
        </is>
      </c>
      <c r="Y195" s="2" t="inlineStr">
        <is>
          <t>CIN-T-014, CIN-T-022, CIN-T-023</t>
        </is>
      </c>
      <c r="Z195" s="2" t="inlineStr">
        <is>
          <t>Hoàn tất kết quả gốc: Kiểm tra dữ liệu đầu vào.</t>
        </is>
      </c>
      <c r="AA195" s="2" t="inlineStr">
        <is>
          <t>Kết quả gốc được kiểm tra và có bằng chứng gắn với CIN-SUB-194; ngoại lệ được ghi rõ.</t>
        </is>
      </c>
      <c r="AB195" s="2" t="inlineStr">
        <is>
          <t>Planned</t>
        </is>
      </c>
      <c r="AC195" s="2" t="inlineStr">
        <is>
          <t>Planned only; no completion evidence was transferred.</t>
        </is>
      </c>
    </row>
    <row r="196">
      <c r="A196" s="2" t="inlineStr">
        <is>
          <t>ORIG-195</t>
        </is>
      </c>
      <c r="B196" s="2" t="n">
        <v>196</v>
      </c>
      <c r="C196" s="2" t="inlineStr">
        <is>
          <t>Validation &amp; Error Handling</t>
        </is>
      </c>
      <c r="D196" s="2" t="n"/>
      <c r="E196" s="2" t="inlineStr">
        <is>
          <t>Frontend Validation</t>
        </is>
      </c>
      <c r="F196" s="2" t="inlineStr">
        <is>
          <t>Kiểm tra form</t>
        </is>
      </c>
      <c r="G196" s="2" t="inlineStr">
        <is>
          <t>Bắt buộc</t>
        </is>
      </c>
      <c r="H196" s="2" t="inlineStr">
        <is>
          <t>Sprint 3</t>
        </is>
      </c>
      <c r="I196" s="2" t="inlineStr">
        <is>
          <t>Thiết kế sớm và thực hiện xuyên suốt, không dồn hết về cuối.</t>
        </is>
      </c>
      <c r="J196" s="2" t="inlineStr">
        <is>
          <t>PH-03</t>
        </is>
      </c>
      <c r="K196" s="2" t="inlineStr">
        <is>
          <t>Core Product Build</t>
        </is>
      </c>
      <c r="L196" s="2" t="inlineStr">
        <is>
          <t>CIN-T-032</t>
        </is>
      </c>
      <c r="M196" s="2" t="inlineStr">
        <is>
          <t>Chuẩn hóa validation và xử lý lỗi backend/frontend</t>
        </is>
      </c>
      <c r="N196" s="2" t="inlineStr">
        <is>
          <t>24120244</t>
        </is>
      </c>
      <c r="O196" s="2" t="inlineStr">
        <is>
          <t>Phan Van Viet</t>
        </is>
      </c>
      <c r="P196" s="2" t="inlineStr">
        <is>
          <t>CIN-SUB-195</t>
        </is>
      </c>
      <c r="Q196" s="2" t="inlineStr">
        <is>
          <t>Sprint 4</t>
        </is>
      </c>
      <c r="R196" s="2" t="inlineStr">
        <is>
          <t>24120271</t>
        </is>
      </c>
      <c r="S196" s="2" t="inlineStr">
        <is>
          <t>Nguyen Trung Chinh</t>
        </is>
      </c>
      <c r="T196" s="3" t="n">
        <v>46340</v>
      </c>
      <c r="U196" s="3" t="n">
        <v>46353</v>
      </c>
      <c r="V196" s="2" t="n">
        <v>3</v>
      </c>
      <c r="W196" s="2" t="inlineStr">
        <is>
          <t>High</t>
        </is>
      </c>
      <c r="X196" s="2" t="inlineStr">
        <is>
          <t>Quality / Reliability</t>
        </is>
      </c>
      <c r="Y196" s="2" t="inlineStr">
        <is>
          <t>CIN-T-014, CIN-T-022, CIN-T-023</t>
        </is>
      </c>
      <c r="Z196" s="2" t="inlineStr">
        <is>
          <t>Hoàn tất kết quả gốc: Kiểm tra form.</t>
        </is>
      </c>
      <c r="AA196" s="2" t="inlineStr">
        <is>
          <t>Kết quả gốc được kiểm tra và có bằng chứng gắn với CIN-SUB-195; ngoại lệ được ghi rõ.</t>
        </is>
      </c>
      <c r="AB196" s="2" t="inlineStr">
        <is>
          <t>Planned</t>
        </is>
      </c>
      <c r="AC196" s="2" t="inlineStr">
        <is>
          <t>Planned only; no completion evidence was transferred.</t>
        </is>
      </c>
    </row>
    <row r="197">
      <c r="A197" s="2" t="inlineStr">
        <is>
          <t>ORIG-196</t>
        </is>
      </c>
      <c r="B197" s="2" t="n">
        <v>197</v>
      </c>
      <c r="C197" s="2" t="inlineStr">
        <is>
          <t>Validation &amp; Error Handling</t>
        </is>
      </c>
      <c r="D197" s="2" t="n"/>
      <c r="E197" s="2" t="inlineStr">
        <is>
          <t>Global Exception Handling</t>
        </is>
      </c>
      <c r="F197" s="2" t="inlineStr">
        <is>
          <t>Middleware xử lý exception</t>
        </is>
      </c>
      <c r="G197" s="2" t="inlineStr">
        <is>
          <t>Bắt buộc</t>
        </is>
      </c>
      <c r="H197" s="2" t="inlineStr">
        <is>
          <t>Sprint 3</t>
        </is>
      </c>
      <c r="I197" s="2" t="inlineStr">
        <is>
          <t>Thiết kế sớm và thực hiện xuyên suốt, không dồn hết về cuối.</t>
        </is>
      </c>
      <c r="J197" s="2" t="inlineStr">
        <is>
          <t>PH-03</t>
        </is>
      </c>
      <c r="K197" s="2" t="inlineStr">
        <is>
          <t>Core Product Build</t>
        </is>
      </c>
      <c r="L197" s="2" t="inlineStr">
        <is>
          <t>CIN-T-032</t>
        </is>
      </c>
      <c r="M197" s="2" t="inlineStr">
        <is>
          <t>Chuẩn hóa validation và xử lý lỗi backend/frontend</t>
        </is>
      </c>
      <c r="N197" s="2" t="inlineStr">
        <is>
          <t>24120244</t>
        </is>
      </c>
      <c r="O197" s="2" t="inlineStr">
        <is>
          <t>Phan Van Viet</t>
        </is>
      </c>
      <c r="P197" s="2" t="inlineStr">
        <is>
          <t>CIN-SUB-196</t>
        </is>
      </c>
      <c r="Q197" s="2" t="inlineStr">
        <is>
          <t>Sprint 4</t>
        </is>
      </c>
      <c r="R197" s="2" t="inlineStr">
        <is>
          <t>24120235</t>
        </is>
      </c>
      <c r="S197" s="2" t="inlineStr">
        <is>
          <t>Huynh Thanh Tu</t>
        </is>
      </c>
      <c r="T197" s="3" t="n">
        <v>46340</v>
      </c>
      <c r="U197" s="3" t="n">
        <v>46353</v>
      </c>
      <c r="V197" s="2" t="n">
        <v>3</v>
      </c>
      <c r="W197" s="2" t="inlineStr">
        <is>
          <t>High</t>
        </is>
      </c>
      <c r="X197" s="2" t="inlineStr">
        <is>
          <t>Quality / Reliability</t>
        </is>
      </c>
      <c r="Y197" s="2" t="inlineStr">
        <is>
          <t>CIN-T-014, CIN-T-022, CIN-T-023</t>
        </is>
      </c>
      <c r="Z197" s="2" t="inlineStr">
        <is>
          <t>Hoàn tất kết quả gốc: Middleware xử lý exception.</t>
        </is>
      </c>
      <c r="AA197" s="2" t="inlineStr">
        <is>
          <t>Kết quả gốc được kiểm tra và có bằng chứng gắn với CIN-SUB-196; ngoại lệ được ghi rõ.</t>
        </is>
      </c>
      <c r="AB197" s="2" t="inlineStr">
        <is>
          <t>Planned</t>
        </is>
      </c>
      <c r="AC197" s="2" t="inlineStr">
        <is>
          <t>Planned only; no completion evidence was transferred.</t>
        </is>
      </c>
    </row>
    <row r="198">
      <c r="A198" s="2" t="inlineStr">
        <is>
          <t>ORIG-197</t>
        </is>
      </c>
      <c r="B198" s="2" t="n">
        <v>198</v>
      </c>
      <c r="C198" s="2" t="inlineStr">
        <is>
          <t>Validation &amp; Error Handling</t>
        </is>
      </c>
      <c r="D198" s="2" t="n"/>
      <c r="E198" s="2" t="inlineStr">
        <is>
          <t>Standard Error Response</t>
        </is>
      </c>
      <c r="F198" s="2" t="inlineStr">
        <is>
          <t>Chuẩn hóa lỗi API</t>
        </is>
      </c>
      <c r="G198" s="2" t="inlineStr">
        <is>
          <t>Bắt buộc</t>
        </is>
      </c>
      <c r="H198" s="2" t="inlineStr">
        <is>
          <t>Sprint 3</t>
        </is>
      </c>
      <c r="I198" s="2" t="inlineStr">
        <is>
          <t>Thiết kế sớm và thực hiện xuyên suốt, không dồn hết về cuối.</t>
        </is>
      </c>
      <c r="J198" s="2" t="inlineStr">
        <is>
          <t>PH-03</t>
        </is>
      </c>
      <c r="K198" s="2" t="inlineStr">
        <is>
          <t>Core Product Build</t>
        </is>
      </c>
      <c r="L198" s="2" t="inlineStr">
        <is>
          <t>CIN-T-032</t>
        </is>
      </c>
      <c r="M198" s="2" t="inlineStr">
        <is>
          <t>Chuẩn hóa validation và xử lý lỗi backend/frontend</t>
        </is>
      </c>
      <c r="N198" s="2" t="inlineStr">
        <is>
          <t>24120244</t>
        </is>
      </c>
      <c r="O198" s="2" t="inlineStr">
        <is>
          <t>Phan Van Viet</t>
        </is>
      </c>
      <c r="P198" s="2" t="inlineStr">
        <is>
          <t>CIN-SUB-197</t>
        </is>
      </c>
      <c r="Q198" s="2" t="inlineStr">
        <is>
          <t>Sprint 4</t>
        </is>
      </c>
      <c r="R198" s="2" t="inlineStr">
        <is>
          <t>24120098</t>
        </is>
      </c>
      <c r="S198" s="2" t="inlineStr">
        <is>
          <t>Nguyen Quoc Nam</t>
        </is>
      </c>
      <c r="T198" s="3" t="n">
        <v>46340</v>
      </c>
      <c r="U198" s="3" t="n">
        <v>46353</v>
      </c>
      <c r="V198" s="2" t="n">
        <v>3</v>
      </c>
      <c r="W198" s="2" t="inlineStr">
        <is>
          <t>High</t>
        </is>
      </c>
      <c r="X198" s="2" t="inlineStr">
        <is>
          <t>Quality / Reliability</t>
        </is>
      </c>
      <c r="Y198" s="2" t="inlineStr">
        <is>
          <t>CIN-T-014, CIN-T-022, CIN-T-023</t>
        </is>
      </c>
      <c r="Z198" s="2" t="inlineStr">
        <is>
          <t>Hoàn tất kết quả gốc: Chuẩn hóa lỗi API.</t>
        </is>
      </c>
      <c r="AA198" s="2" t="inlineStr">
        <is>
          <t>Kết quả gốc được kiểm tra và có bằng chứng gắn với CIN-SUB-197; ngoại lệ được ghi rõ.</t>
        </is>
      </c>
      <c r="AB198" s="2" t="inlineStr">
        <is>
          <t>Planned</t>
        </is>
      </c>
      <c r="AC198" s="2" t="inlineStr">
        <is>
          <t>Planned only; no completion evidence was transferred.</t>
        </is>
      </c>
    </row>
    <row r="199">
      <c r="A199" s="2" t="inlineStr">
        <is>
          <t>ORIG-198</t>
        </is>
      </c>
      <c r="B199" s="2" t="n">
        <v>199</v>
      </c>
      <c r="C199" s="2" t="inlineStr">
        <is>
          <t>Validation &amp; Error Handling</t>
        </is>
      </c>
      <c r="D199" s="2" t="n"/>
      <c r="E199" s="2" t="inlineStr">
        <is>
          <t>Database Error Handling</t>
        </is>
      </c>
      <c r="F199" s="2" t="inlineStr">
        <is>
          <t>Connection / Constraint / Transaction</t>
        </is>
      </c>
      <c r="G199" s="2" t="inlineStr">
        <is>
          <t>Bắt buộc</t>
        </is>
      </c>
      <c r="H199" s="2" t="inlineStr">
        <is>
          <t>Sprint 3</t>
        </is>
      </c>
      <c r="I199" s="2" t="inlineStr">
        <is>
          <t>Thiết kế sớm và thực hiện xuyên suốt, không dồn hết về cuối.</t>
        </is>
      </c>
      <c r="J199" s="2" t="inlineStr">
        <is>
          <t>PH-03</t>
        </is>
      </c>
      <c r="K199" s="2" t="inlineStr">
        <is>
          <t>Core Product Build</t>
        </is>
      </c>
      <c r="L199" s="2" t="inlineStr">
        <is>
          <t>CIN-T-032</t>
        </is>
      </c>
      <c r="M199" s="2" t="inlineStr">
        <is>
          <t>Chuẩn hóa validation và xử lý lỗi backend/frontend</t>
        </is>
      </c>
      <c r="N199" s="2" t="inlineStr">
        <is>
          <t>24120244</t>
        </is>
      </c>
      <c r="O199" s="2" t="inlineStr">
        <is>
          <t>Phan Van Viet</t>
        </is>
      </c>
      <c r="P199" s="2" t="inlineStr">
        <is>
          <t>CIN-SUB-198</t>
        </is>
      </c>
      <c r="Q199" s="2" t="inlineStr">
        <is>
          <t>Sprint 4</t>
        </is>
      </c>
      <c r="R199" s="2" t="inlineStr">
        <is>
          <t>24120255</t>
        </is>
      </c>
      <c r="S199" s="2" t="inlineStr">
        <is>
          <t>Tran Thien An</t>
        </is>
      </c>
      <c r="T199" s="3" t="n">
        <v>46340</v>
      </c>
      <c r="U199" s="3" t="n">
        <v>46353</v>
      </c>
      <c r="V199" s="2" t="n">
        <v>3</v>
      </c>
      <c r="W199" s="2" t="inlineStr">
        <is>
          <t>High</t>
        </is>
      </c>
      <c r="X199" s="2" t="inlineStr">
        <is>
          <t>Quality / Reliability</t>
        </is>
      </c>
      <c r="Y199" s="2" t="inlineStr">
        <is>
          <t>CIN-T-014, CIN-T-022, CIN-T-023</t>
        </is>
      </c>
      <c r="Z199" s="2" t="inlineStr">
        <is>
          <t>Hoàn tất kết quả gốc: Connection / Constraint / Transaction.</t>
        </is>
      </c>
      <c r="AA199" s="2" t="inlineStr">
        <is>
          <t>Kết quả gốc được kiểm tra và có bằng chứng gắn với CIN-SUB-198; ngoại lệ được ghi rõ.</t>
        </is>
      </c>
      <c r="AB199" s="2" t="inlineStr">
        <is>
          <t>Planned</t>
        </is>
      </c>
      <c r="AC199" s="2" t="inlineStr">
        <is>
          <t>Planned only; no completion evidence was transferred.</t>
        </is>
      </c>
    </row>
    <row r="200">
      <c r="A200" s="2" t="inlineStr">
        <is>
          <t>ORIG-199</t>
        </is>
      </c>
      <c r="B200" s="2" t="n">
        <v>200</v>
      </c>
      <c r="C200" s="2" t="inlineStr">
        <is>
          <t>Validation &amp; Error Handling</t>
        </is>
      </c>
      <c r="D200" s="2" t="n"/>
      <c r="E200" s="2" t="inlineStr">
        <is>
          <t>Booking Error Handling</t>
        </is>
      </c>
      <c r="F200" s="2" t="inlineStr">
        <is>
          <t>Ghế đã bị đặt / hết hạn</t>
        </is>
      </c>
      <c r="G200" s="2" t="inlineStr">
        <is>
          <t>Bắt buộc</t>
        </is>
      </c>
      <c r="H200" s="2" t="inlineStr">
        <is>
          <t>Sprint 3</t>
        </is>
      </c>
      <c r="I200" s="2" t="inlineStr">
        <is>
          <t>Thiết kế sớm và thực hiện xuyên suốt, không dồn hết về cuối.</t>
        </is>
      </c>
      <c r="J200" s="2" t="inlineStr">
        <is>
          <t>PH-03</t>
        </is>
      </c>
      <c r="K200" s="2" t="inlineStr">
        <is>
          <t>Core Product Build</t>
        </is>
      </c>
      <c r="L200" s="2" t="inlineStr">
        <is>
          <t>CIN-T-032</t>
        </is>
      </c>
      <c r="M200" s="2" t="inlineStr">
        <is>
          <t>Chuẩn hóa validation và xử lý lỗi backend/frontend</t>
        </is>
      </c>
      <c r="N200" s="2" t="inlineStr">
        <is>
          <t>24120244</t>
        </is>
      </c>
      <c r="O200" s="2" t="inlineStr">
        <is>
          <t>Phan Van Viet</t>
        </is>
      </c>
      <c r="P200" s="2" t="inlineStr">
        <is>
          <t>CIN-SUB-199</t>
        </is>
      </c>
      <c r="Q200" s="2" t="inlineStr">
        <is>
          <t>Sprint 4</t>
        </is>
      </c>
      <c r="R200" s="2" t="inlineStr">
        <is>
          <t>24120244</t>
        </is>
      </c>
      <c r="S200" s="2" t="inlineStr">
        <is>
          <t>Phan Van Viet</t>
        </is>
      </c>
      <c r="T200" s="3" t="n">
        <v>46340</v>
      </c>
      <c r="U200" s="3" t="n">
        <v>46353</v>
      </c>
      <c r="V200" s="2" t="n">
        <v>3</v>
      </c>
      <c r="W200" s="2" t="inlineStr">
        <is>
          <t>High</t>
        </is>
      </c>
      <c r="X200" s="2" t="inlineStr">
        <is>
          <t>Quality / Reliability</t>
        </is>
      </c>
      <c r="Y200" s="2" t="inlineStr">
        <is>
          <t>CIN-T-014, CIN-T-022, CIN-T-023</t>
        </is>
      </c>
      <c r="Z200" s="2" t="inlineStr">
        <is>
          <t>Hoàn tất kết quả gốc: Ghế đã bị đặt / hết hạn.</t>
        </is>
      </c>
      <c r="AA200" s="2" t="inlineStr">
        <is>
          <t>Kết quả gốc được kiểm tra và có bằng chứng gắn với CIN-SUB-199; ngoại lệ được ghi rõ.</t>
        </is>
      </c>
      <c r="AB200" s="2" t="inlineStr">
        <is>
          <t>Planned</t>
        </is>
      </c>
      <c r="AC200" s="2" t="inlineStr">
        <is>
          <t>Planned only; no completion evidence was transferred.</t>
        </is>
      </c>
    </row>
    <row r="201">
      <c r="A201" s="2" t="inlineStr">
        <is>
          <t>ORIG-200</t>
        </is>
      </c>
      <c r="B201" s="2" t="n">
        <v>201</v>
      </c>
      <c r="C201" s="2" t="inlineStr">
        <is>
          <t>Validation &amp; Error Handling</t>
        </is>
      </c>
      <c r="D201" s="2" t="n"/>
      <c r="E201" s="2" t="inlineStr">
        <is>
          <t>Payment Error Handling</t>
        </is>
      </c>
      <c r="F201" s="2" t="inlineStr">
        <is>
          <t>Failed / Timeout / Invalid callback</t>
        </is>
      </c>
      <c r="G201" s="2" t="inlineStr">
        <is>
          <t>Bắt buộc</t>
        </is>
      </c>
      <c r="H201" s="2" t="inlineStr">
        <is>
          <t>Sprint 3</t>
        </is>
      </c>
      <c r="I201" s="2" t="inlineStr">
        <is>
          <t>Thiết kế sớm và thực hiện xuyên suốt, không dồn hết về cuối.</t>
        </is>
      </c>
      <c r="J201" s="2" t="inlineStr">
        <is>
          <t>PH-03</t>
        </is>
      </c>
      <c r="K201" s="2" t="inlineStr">
        <is>
          <t>Core Product Build</t>
        </is>
      </c>
      <c r="L201" s="2" t="inlineStr">
        <is>
          <t>CIN-T-032</t>
        </is>
      </c>
      <c r="M201" s="2" t="inlineStr">
        <is>
          <t>Chuẩn hóa validation và xử lý lỗi backend/frontend</t>
        </is>
      </c>
      <c r="N201" s="2" t="inlineStr">
        <is>
          <t>24120244</t>
        </is>
      </c>
      <c r="O201" s="2" t="inlineStr">
        <is>
          <t>Phan Van Viet</t>
        </is>
      </c>
      <c r="P201" s="2" t="inlineStr">
        <is>
          <t>CIN-SUB-200</t>
        </is>
      </c>
      <c r="Q201" s="2" t="inlineStr">
        <is>
          <t>Sprint 4</t>
        </is>
      </c>
      <c r="R201" s="2" t="inlineStr">
        <is>
          <t>24120271</t>
        </is>
      </c>
      <c r="S201" s="2" t="inlineStr">
        <is>
          <t>Nguyen Trung Chinh</t>
        </is>
      </c>
      <c r="T201" s="3" t="n">
        <v>46340</v>
      </c>
      <c r="U201" s="3" t="n">
        <v>46353</v>
      </c>
      <c r="V201" s="2" t="n">
        <v>3</v>
      </c>
      <c r="W201" s="2" t="inlineStr">
        <is>
          <t>High</t>
        </is>
      </c>
      <c r="X201" s="2" t="inlineStr">
        <is>
          <t>Quality / Reliability</t>
        </is>
      </c>
      <c r="Y201" s="2" t="inlineStr">
        <is>
          <t>CIN-T-014, CIN-T-022, CIN-T-023</t>
        </is>
      </c>
      <c r="Z201" s="2" t="inlineStr">
        <is>
          <t>Hoàn tất kết quả gốc: Failed / Timeout / Invalid callback.</t>
        </is>
      </c>
      <c r="AA201" s="2" t="inlineStr">
        <is>
          <t>Kết quả gốc được kiểm tra và có bằng chứng gắn với CIN-SUB-200; ngoại lệ được ghi rõ.</t>
        </is>
      </c>
      <c r="AB201" s="2" t="inlineStr">
        <is>
          <t>Planned</t>
        </is>
      </c>
      <c r="AC201" s="2" t="inlineStr">
        <is>
          <t>Planned only; no completion evidence was transferred.</t>
        </is>
      </c>
    </row>
    <row r="202">
      <c r="A202" s="2" t="inlineStr">
        <is>
          <t>ORIG-201</t>
        </is>
      </c>
      <c r="B202" s="2" t="n">
        <v>202</v>
      </c>
      <c r="C202" s="2" t="inlineStr">
        <is>
          <t>Security</t>
        </is>
      </c>
      <c r="D202" s="2" t="inlineStr">
        <is>
          <t>Bảo mật</t>
        </is>
      </c>
      <c r="E202" s="2" t="inlineStr">
        <is>
          <t>Password Security</t>
        </is>
      </c>
      <c r="F202" s="2" t="inlineStr">
        <is>
          <t>Hash + Salt</t>
        </is>
      </c>
      <c r="G202" s="2" t="inlineStr">
        <is>
          <t>Bắt buộc</t>
        </is>
      </c>
      <c r="H202" s="2" t="inlineStr">
        <is>
          <t>Sprint 3</t>
        </is>
      </c>
      <c r="I202" s="2" t="inlineStr">
        <is>
          <t>Hash mật khẩu, phân quyền và bảo vệ secrets từ sớm; hardening nâng cao sau.</t>
        </is>
      </c>
      <c r="J202" s="2" t="inlineStr">
        <is>
          <t>PH-03</t>
        </is>
      </c>
      <c r="K202" s="2" t="inlineStr">
        <is>
          <t>Core Product Build</t>
        </is>
      </c>
      <c r="L202" s="2" t="inlineStr">
        <is>
          <t>CIN-T-033</t>
        </is>
      </c>
      <c r="M202" s="2" t="inlineStr">
        <is>
          <t>Áp dụng bảo vệ tài khoản, API, input và secrets</t>
        </is>
      </c>
      <c r="N202" s="2" t="inlineStr">
        <is>
          <t>24120255</t>
        </is>
      </c>
      <c r="O202" s="2" t="inlineStr">
        <is>
          <t>Tran Thien An</t>
        </is>
      </c>
      <c r="P202" s="2" t="inlineStr">
        <is>
          <t>CIN-SUB-201</t>
        </is>
      </c>
      <c r="Q202" s="2" t="inlineStr">
        <is>
          <t>Sprint 3</t>
        </is>
      </c>
      <c r="R202" s="2" t="inlineStr">
        <is>
          <t>24120255</t>
        </is>
      </c>
      <c r="S202" s="2" t="inlineStr">
        <is>
          <t>Tran Thien An</t>
        </is>
      </c>
      <c r="T202" s="3" t="n">
        <v>46326</v>
      </c>
      <c r="U202" s="3" t="n">
        <v>46339</v>
      </c>
      <c r="V202" s="2" t="n">
        <v>3</v>
      </c>
      <c r="W202" s="2" t="inlineStr">
        <is>
          <t>High</t>
        </is>
      </c>
      <c r="X202" s="2" t="inlineStr">
        <is>
          <t>Security</t>
        </is>
      </c>
      <c r="Y202" s="2" t="inlineStr">
        <is>
          <t>CIN-T-019, CIN-T-014, CIN-T-012</t>
        </is>
      </c>
      <c r="Z202" s="2" t="inlineStr">
        <is>
          <t>Hoàn tất kết quả gốc: Hash + Salt.</t>
        </is>
      </c>
      <c r="AA202" s="2" t="inlineStr">
        <is>
          <t>Kết quả gốc được kiểm tra và có bằng chứng gắn với CIN-SUB-201; ngoại lệ được ghi rõ.</t>
        </is>
      </c>
      <c r="AB202" s="2" t="inlineStr">
        <is>
          <t>Planned</t>
        </is>
      </c>
      <c r="AC202" s="2" t="inlineStr">
        <is>
          <t>Planned only; no completion evidence was transferred. Confirm that limited foundation coding is allowed before PA3 design baseline.</t>
        </is>
      </c>
    </row>
    <row r="203">
      <c r="A203" s="2" t="inlineStr">
        <is>
          <t>ORIG-202</t>
        </is>
      </c>
      <c r="B203" s="2" t="n">
        <v>203</v>
      </c>
      <c r="C203" s="2" t="inlineStr">
        <is>
          <t>Security</t>
        </is>
      </c>
      <c r="D203" s="2" t="n"/>
      <c r="E203" s="2" t="inlineStr">
        <is>
          <t>API Security</t>
        </is>
      </c>
      <c r="F203" s="2" t="inlineStr">
        <is>
          <t>Authentication / Authorization</t>
        </is>
      </c>
      <c r="G203" s="2" t="inlineStr">
        <is>
          <t>Bắt buộc</t>
        </is>
      </c>
      <c r="H203" s="2" t="inlineStr">
        <is>
          <t>Sprint 3</t>
        </is>
      </c>
      <c r="I203" s="2" t="inlineStr">
        <is>
          <t>Hash mật khẩu, phân quyền và bảo vệ secrets từ sớm; hardening nâng cao sau.</t>
        </is>
      </c>
      <c r="J203" s="2" t="inlineStr">
        <is>
          <t>PH-03</t>
        </is>
      </c>
      <c r="K203" s="2" t="inlineStr">
        <is>
          <t>Core Product Build</t>
        </is>
      </c>
      <c r="L203" s="2" t="inlineStr">
        <is>
          <t>CIN-T-033</t>
        </is>
      </c>
      <c r="M203" s="2" t="inlineStr">
        <is>
          <t>Áp dụng bảo vệ tài khoản, API, input và secrets</t>
        </is>
      </c>
      <c r="N203" s="2" t="inlineStr">
        <is>
          <t>24120255</t>
        </is>
      </c>
      <c r="O203" s="2" t="inlineStr">
        <is>
          <t>Tran Thien An</t>
        </is>
      </c>
      <c r="P203" s="2" t="inlineStr">
        <is>
          <t>CIN-SUB-202</t>
        </is>
      </c>
      <c r="Q203" s="2" t="inlineStr">
        <is>
          <t>Sprint 3</t>
        </is>
      </c>
      <c r="R203" s="2" t="inlineStr">
        <is>
          <t>24120235</t>
        </is>
      </c>
      <c r="S203" s="2" t="inlineStr">
        <is>
          <t>Huynh Thanh Tu</t>
        </is>
      </c>
      <c r="T203" s="3" t="n">
        <v>46326</v>
      </c>
      <c r="U203" s="3" t="n">
        <v>46339</v>
      </c>
      <c r="V203" s="2" t="n">
        <v>3</v>
      </c>
      <c r="W203" s="2" t="inlineStr">
        <is>
          <t>High</t>
        </is>
      </c>
      <c r="X203" s="2" t="inlineStr">
        <is>
          <t>Security</t>
        </is>
      </c>
      <c r="Y203" s="2" t="inlineStr">
        <is>
          <t>CIN-T-019, CIN-T-014, CIN-T-012</t>
        </is>
      </c>
      <c r="Z203" s="2" t="inlineStr">
        <is>
          <t>Hoàn tất kết quả gốc: Authentication / Authorization.</t>
        </is>
      </c>
      <c r="AA203" s="2" t="inlineStr">
        <is>
          <t>Kết quả gốc được kiểm tra và có bằng chứng gắn với CIN-SUB-202; ngoại lệ được ghi rõ.</t>
        </is>
      </c>
      <c r="AB203" s="2" t="inlineStr">
        <is>
          <t>Planned</t>
        </is>
      </c>
      <c r="AC203" s="2" t="inlineStr">
        <is>
          <t>Planned only; no completion evidence was transferred. Confirm that limited foundation coding is allowed before PA3 design baseline.</t>
        </is>
      </c>
    </row>
    <row r="204">
      <c r="A204" s="2" t="inlineStr">
        <is>
          <t>ORIG-203</t>
        </is>
      </c>
      <c r="B204" s="2" t="n">
        <v>204</v>
      </c>
      <c r="C204" s="2" t="inlineStr">
        <is>
          <t>Security</t>
        </is>
      </c>
      <c r="D204" s="2" t="n"/>
      <c r="E204" s="2" t="inlineStr">
        <is>
          <t>CORS</t>
        </is>
      </c>
      <c r="F204" s="2" t="inlineStr">
        <is>
          <t>Chỉ cho phép Frontend hợp lệ</t>
        </is>
      </c>
      <c r="G204" s="2" t="inlineStr">
        <is>
          <t>Bắt buộc</t>
        </is>
      </c>
      <c r="H204" s="2" t="inlineStr">
        <is>
          <t>Sprint 3</t>
        </is>
      </c>
      <c r="I204" s="2" t="inlineStr">
        <is>
          <t>Hash mật khẩu, phân quyền và bảo vệ secrets từ sớm; hardening nâng cao sau.</t>
        </is>
      </c>
      <c r="J204" s="2" t="inlineStr">
        <is>
          <t>PH-03</t>
        </is>
      </c>
      <c r="K204" s="2" t="inlineStr">
        <is>
          <t>Core Product Build</t>
        </is>
      </c>
      <c r="L204" s="2" t="inlineStr">
        <is>
          <t>CIN-T-033</t>
        </is>
      </c>
      <c r="M204" s="2" t="inlineStr">
        <is>
          <t>Áp dụng bảo vệ tài khoản, API, input và secrets</t>
        </is>
      </c>
      <c r="N204" s="2" t="inlineStr">
        <is>
          <t>24120255</t>
        </is>
      </c>
      <c r="O204" s="2" t="inlineStr">
        <is>
          <t>Tran Thien An</t>
        </is>
      </c>
      <c r="P204" s="2" t="inlineStr">
        <is>
          <t>CIN-SUB-203</t>
        </is>
      </c>
      <c r="Q204" s="2" t="inlineStr">
        <is>
          <t>Sprint 3</t>
        </is>
      </c>
      <c r="R204" s="2" t="inlineStr">
        <is>
          <t>24120244</t>
        </is>
      </c>
      <c r="S204" s="2" t="inlineStr">
        <is>
          <t>Phan Van Viet</t>
        </is>
      </c>
      <c r="T204" s="3" t="n">
        <v>46326</v>
      </c>
      <c r="U204" s="3" t="n">
        <v>46339</v>
      </c>
      <c r="V204" s="2" t="n">
        <v>2</v>
      </c>
      <c r="W204" s="2" t="inlineStr">
        <is>
          <t>High</t>
        </is>
      </c>
      <c r="X204" s="2" t="inlineStr">
        <is>
          <t>Security</t>
        </is>
      </c>
      <c r="Y204" s="2" t="inlineStr">
        <is>
          <t>CIN-T-019, CIN-T-014, CIN-T-012</t>
        </is>
      </c>
      <c r="Z204" s="2" t="inlineStr">
        <is>
          <t>Hoàn tất kết quả gốc: Chỉ cho phép Frontend hợp lệ.</t>
        </is>
      </c>
      <c r="AA204" s="2" t="inlineStr">
        <is>
          <t>Kết quả gốc được kiểm tra và có bằng chứng gắn với CIN-SUB-203; ngoại lệ được ghi rõ.</t>
        </is>
      </c>
      <c r="AB204" s="2" t="inlineStr">
        <is>
          <t>Planned</t>
        </is>
      </c>
      <c r="AC204" s="2" t="inlineStr">
        <is>
          <t>Planned only; no completion evidence was transferred. Confirm that limited foundation coding is allowed before PA3 design baseline.</t>
        </is>
      </c>
    </row>
    <row r="205">
      <c r="A205" s="2" t="inlineStr">
        <is>
          <t>ORIG-204</t>
        </is>
      </c>
      <c r="B205" s="2" t="n">
        <v>205</v>
      </c>
      <c r="C205" s="2" t="inlineStr">
        <is>
          <t>Security</t>
        </is>
      </c>
      <c r="D205" s="2" t="n"/>
      <c r="E205" s="2" t="inlineStr">
        <is>
          <t>Input Security</t>
        </is>
      </c>
      <c r="F205" s="2" t="inlineStr">
        <is>
          <t>Validation / chống dữ liệu độc hại</t>
        </is>
      </c>
      <c r="G205" s="2" t="inlineStr">
        <is>
          <t>Bắt buộc</t>
        </is>
      </c>
      <c r="H205" s="2" t="inlineStr">
        <is>
          <t>Sprint 3</t>
        </is>
      </c>
      <c r="I205" s="2" t="inlineStr">
        <is>
          <t>Hash mật khẩu, phân quyền và bảo vệ secrets từ sớm; hardening nâng cao sau.</t>
        </is>
      </c>
      <c r="J205" s="2" t="inlineStr">
        <is>
          <t>PH-03</t>
        </is>
      </c>
      <c r="K205" s="2" t="inlineStr">
        <is>
          <t>Core Product Build</t>
        </is>
      </c>
      <c r="L205" s="2" t="inlineStr">
        <is>
          <t>CIN-T-033</t>
        </is>
      </c>
      <c r="M205" s="2" t="inlineStr">
        <is>
          <t>Áp dụng bảo vệ tài khoản, API, input và secrets</t>
        </is>
      </c>
      <c r="N205" s="2" t="inlineStr">
        <is>
          <t>24120255</t>
        </is>
      </c>
      <c r="O205" s="2" t="inlineStr">
        <is>
          <t>Tran Thien An</t>
        </is>
      </c>
      <c r="P205" s="2" t="inlineStr">
        <is>
          <t>CIN-SUB-204</t>
        </is>
      </c>
      <c r="Q205" s="2" t="inlineStr">
        <is>
          <t>Sprint 3</t>
        </is>
      </c>
      <c r="R205" s="2" t="inlineStr">
        <is>
          <t>24120098</t>
        </is>
      </c>
      <c r="S205" s="2" t="inlineStr">
        <is>
          <t>Nguyen Quoc Nam</t>
        </is>
      </c>
      <c r="T205" s="3" t="n">
        <v>46326</v>
      </c>
      <c r="U205" s="3" t="n">
        <v>46339</v>
      </c>
      <c r="V205" s="2" t="n">
        <v>3</v>
      </c>
      <c r="W205" s="2" t="inlineStr">
        <is>
          <t>High</t>
        </is>
      </c>
      <c r="X205" s="2" t="inlineStr">
        <is>
          <t>Security</t>
        </is>
      </c>
      <c r="Y205" s="2" t="inlineStr">
        <is>
          <t>CIN-T-019, CIN-T-014, CIN-T-012</t>
        </is>
      </c>
      <c r="Z205" s="2" t="inlineStr">
        <is>
          <t>Hoàn tất kết quả gốc: Validation / chống dữ liệu độc hại.</t>
        </is>
      </c>
      <c r="AA205" s="2" t="inlineStr">
        <is>
          <t>Kết quả gốc được kiểm tra và có bằng chứng gắn với CIN-SUB-204; ngoại lệ được ghi rõ.</t>
        </is>
      </c>
      <c r="AB205" s="2" t="inlineStr">
        <is>
          <t>Planned</t>
        </is>
      </c>
      <c r="AC205" s="2" t="inlineStr">
        <is>
          <t>Planned only; no completion evidence was transferred. Confirm that limited foundation coding is allowed before PA3 design baseline.</t>
        </is>
      </c>
    </row>
    <row r="206">
      <c r="A206" s="2" t="inlineStr">
        <is>
          <t>ORIG-205</t>
        </is>
      </c>
      <c r="B206" s="2" t="n">
        <v>206</v>
      </c>
      <c r="C206" s="2" t="inlineStr">
        <is>
          <t>Security</t>
        </is>
      </c>
      <c r="D206" s="2" t="n"/>
      <c r="E206" s="2" t="inlineStr">
        <is>
          <t>SQL Injection Protection</t>
        </is>
      </c>
      <c r="F206" s="2" t="inlineStr">
        <is>
          <t>Sử dụng EF Core parameterization</t>
        </is>
      </c>
      <c r="G206" s="2" t="inlineStr">
        <is>
          <t>Bắt buộc</t>
        </is>
      </c>
      <c r="H206" s="2" t="inlineStr">
        <is>
          <t>Sprint 3</t>
        </is>
      </c>
      <c r="I206" s="2" t="inlineStr">
        <is>
          <t>Hash mật khẩu, phân quyền và bảo vệ secrets từ sớm; hardening nâng cao sau.</t>
        </is>
      </c>
      <c r="J206" s="2" t="inlineStr">
        <is>
          <t>PH-03</t>
        </is>
      </c>
      <c r="K206" s="2" t="inlineStr">
        <is>
          <t>Core Product Build</t>
        </is>
      </c>
      <c r="L206" s="2" t="inlineStr">
        <is>
          <t>CIN-T-033</t>
        </is>
      </c>
      <c r="M206" s="2" t="inlineStr">
        <is>
          <t>Áp dụng bảo vệ tài khoản, API, input và secrets</t>
        </is>
      </c>
      <c r="N206" s="2" t="inlineStr">
        <is>
          <t>24120255</t>
        </is>
      </c>
      <c r="O206" s="2" t="inlineStr">
        <is>
          <t>Tran Thien An</t>
        </is>
      </c>
      <c r="P206" s="2" t="inlineStr">
        <is>
          <t>CIN-SUB-205</t>
        </is>
      </c>
      <c r="Q206" s="2" t="inlineStr">
        <is>
          <t>Sprint 3</t>
        </is>
      </c>
      <c r="R206" s="2" t="inlineStr">
        <is>
          <t>24120271</t>
        </is>
      </c>
      <c r="S206" s="2" t="inlineStr">
        <is>
          <t>Nguyen Trung Chinh</t>
        </is>
      </c>
      <c r="T206" s="3" t="n">
        <v>46326</v>
      </c>
      <c r="U206" s="3" t="n">
        <v>46339</v>
      </c>
      <c r="V206" s="2" t="n">
        <v>2</v>
      </c>
      <c r="W206" s="2" t="inlineStr">
        <is>
          <t>High</t>
        </is>
      </c>
      <c r="X206" s="2" t="inlineStr">
        <is>
          <t>Security</t>
        </is>
      </c>
      <c r="Y206" s="2" t="inlineStr">
        <is>
          <t>CIN-T-019, CIN-T-014, CIN-T-012</t>
        </is>
      </c>
      <c r="Z206" s="2" t="inlineStr">
        <is>
          <t>Hoàn tất kết quả gốc: Sử dụng EF Core parameterization.</t>
        </is>
      </c>
      <c r="AA206" s="2" t="inlineStr">
        <is>
          <t>Kết quả gốc được kiểm tra và có bằng chứng gắn với CIN-SUB-205; ngoại lệ được ghi rõ.</t>
        </is>
      </c>
      <c r="AB206" s="2" t="inlineStr">
        <is>
          <t>Planned</t>
        </is>
      </c>
      <c r="AC206" s="2" t="inlineStr">
        <is>
          <t>Planned only; no completion evidence was transferred. Confirm that limited foundation coding is allowed before PA3 design baseline.</t>
        </is>
      </c>
    </row>
    <row r="207">
      <c r="A207" s="2" t="inlineStr">
        <is>
          <t>ORIG-206</t>
        </is>
      </c>
      <c r="B207" s="2" t="n">
        <v>207</v>
      </c>
      <c r="C207" s="2" t="inlineStr">
        <is>
          <t>Security</t>
        </is>
      </c>
      <c r="D207" s="2" t="n"/>
      <c r="E207" s="2" t="inlineStr">
        <is>
          <t>Secrets Management</t>
        </is>
      </c>
      <c r="F207" s="2" t="inlineStr">
        <is>
          <t>Không commit JWT Secret / API Key / Password</t>
        </is>
      </c>
      <c r="G207" s="2" t="inlineStr">
        <is>
          <t>Bắt buộc</t>
        </is>
      </c>
      <c r="H207" s="2" t="inlineStr">
        <is>
          <t>Sprint 3</t>
        </is>
      </c>
      <c r="I207" s="2" t="inlineStr">
        <is>
          <t>Hash mật khẩu, phân quyền và bảo vệ secrets từ sớm; hardening nâng cao sau.</t>
        </is>
      </c>
      <c r="J207" s="2" t="inlineStr">
        <is>
          <t>PH-03</t>
        </is>
      </c>
      <c r="K207" s="2" t="inlineStr">
        <is>
          <t>Core Product Build</t>
        </is>
      </c>
      <c r="L207" s="2" t="inlineStr">
        <is>
          <t>CIN-T-033</t>
        </is>
      </c>
      <c r="M207" s="2" t="inlineStr">
        <is>
          <t>Áp dụng bảo vệ tài khoản, API, input và secrets</t>
        </is>
      </c>
      <c r="N207" s="2" t="inlineStr">
        <is>
          <t>24120255</t>
        </is>
      </c>
      <c r="O207" s="2" t="inlineStr">
        <is>
          <t>Tran Thien An</t>
        </is>
      </c>
      <c r="P207" s="2" t="inlineStr">
        <is>
          <t>CIN-SUB-206</t>
        </is>
      </c>
      <c r="Q207" s="2" t="inlineStr">
        <is>
          <t>Sprint 3</t>
        </is>
      </c>
      <c r="R207" s="2" t="inlineStr">
        <is>
          <t>24120244</t>
        </is>
      </c>
      <c r="S207" s="2" t="inlineStr">
        <is>
          <t>Phan Van Viet</t>
        </is>
      </c>
      <c r="T207" s="3" t="n">
        <v>46326</v>
      </c>
      <c r="U207" s="3" t="n">
        <v>46339</v>
      </c>
      <c r="V207" s="2" t="n">
        <v>3</v>
      </c>
      <c r="W207" s="2" t="inlineStr">
        <is>
          <t>High</t>
        </is>
      </c>
      <c r="X207" s="2" t="inlineStr">
        <is>
          <t>Security</t>
        </is>
      </c>
      <c r="Y207" s="2" t="inlineStr">
        <is>
          <t>CIN-T-019, CIN-T-014, CIN-T-012</t>
        </is>
      </c>
      <c r="Z207" s="2" t="inlineStr">
        <is>
          <t>Hoàn tất kết quả gốc: Không commit JWT Secret / API Key / Password.</t>
        </is>
      </c>
      <c r="AA207" s="2" t="inlineStr">
        <is>
          <t>Kết quả gốc được kiểm tra và có bằng chứng gắn với CIN-SUB-206; ngoại lệ được ghi rõ.</t>
        </is>
      </c>
      <c r="AB207" s="2" t="inlineStr">
        <is>
          <t>Planned</t>
        </is>
      </c>
      <c r="AC207" s="2" t="inlineStr">
        <is>
          <t>Planned only; no completion evidence was transferred. Confirm that limited foundation coding is allowed before PA3 design baseline.</t>
        </is>
      </c>
    </row>
    <row r="208">
      <c r="A208" s="2" t="inlineStr">
        <is>
          <t>ORIG-207</t>
        </is>
      </c>
      <c r="B208" s="2" t="n">
        <v>208</v>
      </c>
      <c r="C208" s="2" t="inlineStr">
        <is>
          <t>Security</t>
        </is>
      </c>
      <c r="D208" s="2" t="n"/>
      <c r="E208" s="2" t="inlineStr">
        <is>
          <t>HTTPS</t>
        </is>
      </c>
      <c r="F208" s="2" t="inlineStr">
        <is>
          <t>Bảo vệ kết nối production</t>
        </is>
      </c>
      <c r="G208" s="2" t="inlineStr">
        <is>
          <t>Bắt buộc</t>
        </is>
      </c>
      <c r="H208" s="2" t="inlineStr">
        <is>
          <t>Sprint 3</t>
        </is>
      </c>
      <c r="I208" s="2" t="inlineStr">
        <is>
          <t>Hash mật khẩu, phân quyền và bảo vệ secrets từ sớm; hardening nâng cao sau.</t>
        </is>
      </c>
      <c r="J208" s="2" t="inlineStr">
        <is>
          <t>PH-03</t>
        </is>
      </c>
      <c r="K208" s="2" t="inlineStr">
        <is>
          <t>Core Product Build</t>
        </is>
      </c>
      <c r="L208" s="2" t="inlineStr">
        <is>
          <t>CIN-T-033</t>
        </is>
      </c>
      <c r="M208" s="2" t="inlineStr">
        <is>
          <t>Áp dụng bảo vệ tài khoản, API, input và secrets</t>
        </is>
      </c>
      <c r="N208" s="2" t="inlineStr">
        <is>
          <t>24120255</t>
        </is>
      </c>
      <c r="O208" s="2" t="inlineStr">
        <is>
          <t>Tran Thien An</t>
        </is>
      </c>
      <c r="P208" s="2" t="inlineStr">
        <is>
          <t>CIN-SUB-207</t>
        </is>
      </c>
      <c r="Q208" s="2" t="inlineStr">
        <is>
          <t>Sprint 3</t>
        </is>
      </c>
      <c r="R208" s="2" t="inlineStr">
        <is>
          <t>24120255</t>
        </is>
      </c>
      <c r="S208" s="2" t="inlineStr">
        <is>
          <t>Tran Thien An</t>
        </is>
      </c>
      <c r="T208" s="3" t="n">
        <v>46326</v>
      </c>
      <c r="U208" s="3" t="n">
        <v>46339</v>
      </c>
      <c r="V208" s="2" t="n">
        <v>2</v>
      </c>
      <c r="W208" s="2" t="inlineStr">
        <is>
          <t>High</t>
        </is>
      </c>
      <c r="X208" s="2" t="inlineStr">
        <is>
          <t>Security</t>
        </is>
      </c>
      <c r="Y208" s="2" t="inlineStr">
        <is>
          <t>CIN-T-019, CIN-T-014, CIN-T-012</t>
        </is>
      </c>
      <c r="Z208" s="2" t="inlineStr">
        <is>
          <t>Hoàn tất kết quả gốc: Bảo vệ kết nối production.</t>
        </is>
      </c>
      <c r="AA208" s="2" t="inlineStr">
        <is>
          <t>Kết quả gốc được kiểm tra và có bằng chứng gắn với CIN-SUB-207; ngoại lệ được ghi rõ.</t>
        </is>
      </c>
      <c r="AB208" s="2" t="inlineStr">
        <is>
          <t>Planned</t>
        </is>
      </c>
      <c r="AC208" s="2" t="inlineStr">
        <is>
          <t>Planned only; no completion evidence was transferred. Confirm that limited foundation coding is allowed before PA3 design baseline.</t>
        </is>
      </c>
    </row>
    <row r="209">
      <c r="A209" s="2" t="inlineStr">
        <is>
          <t>ORIG-208</t>
        </is>
      </c>
      <c r="B209" s="2" t="n">
        <v>209</v>
      </c>
      <c r="C209" s="2" t="inlineStr">
        <is>
          <t>Security</t>
        </is>
      </c>
      <c r="D209" s="2" t="n"/>
      <c r="E209" s="2" t="inlineStr">
        <is>
          <t>Security Headers</t>
        </is>
      </c>
      <c r="F209" s="2" t="inlineStr">
        <is>
          <t>Cấu hình các HTTP security headers cần thiết</t>
        </is>
      </c>
      <c r="G209" s="2" t="inlineStr">
        <is>
          <t>Mở rộng</t>
        </is>
      </c>
      <c r="H209" s="2" t="inlineStr">
        <is>
          <t>Sprint 3</t>
        </is>
      </c>
      <c r="I209" s="2" t="inlineStr">
        <is>
          <t>Hạng mục nâng cao/phụ thuộc môi trường; xác nhận rubric và khả năng trước khi cam kết.</t>
        </is>
      </c>
      <c r="J209" s="2" t="inlineStr">
        <is>
          <t>PH-04</t>
        </is>
      </c>
      <c r="K209" s="2" t="inlineStr">
        <is>
          <t>Release, Verification &amp; Handover</t>
        </is>
      </c>
      <c r="L209" s="2" t="inlineStr">
        <is>
          <t>CIN-T-034</t>
        </is>
      </c>
      <c r="M209" s="2" t="inlineStr">
        <is>
          <t>Đánh giá security headers nâng cao</t>
        </is>
      </c>
      <c r="N209" s="2" t="inlineStr">
        <is>
          <t>24120255</t>
        </is>
      </c>
      <c r="O209" s="2" t="inlineStr">
        <is>
          <t>Tran Thien An</t>
        </is>
      </c>
      <c r="P209" s="2" t="inlineStr">
        <is>
          <t>CIN-SUB-208</t>
        </is>
      </c>
      <c r="Q209" s="2" t="inlineStr">
        <is>
          <t>Sprint 5</t>
        </is>
      </c>
      <c r="R209" s="2" t="inlineStr">
        <is>
          <t>24120255</t>
        </is>
      </c>
      <c r="S209" s="2" t="inlineStr">
        <is>
          <t>Tran Thien An</t>
        </is>
      </c>
      <c r="T209" s="3" t="n">
        <v>46354</v>
      </c>
      <c r="U209" s="3" t="n">
        <v>46368</v>
      </c>
      <c r="V209" s="2" t="n">
        <v>2</v>
      </c>
      <c r="W209" s="2" t="inlineStr">
        <is>
          <t>Low</t>
        </is>
      </c>
      <c r="X209" s="2" t="inlineStr">
        <is>
          <t>Security</t>
        </is>
      </c>
      <c r="Y209" s="2" t="inlineStr">
        <is>
          <t>CIN-T-033</t>
        </is>
      </c>
      <c r="Z209" s="2" t="inlineStr">
        <is>
          <t>Hoàn tất kết quả gốc: Cấu hình các HTTP security headers cần thiết.</t>
        </is>
      </c>
      <c r="AA209" s="2" t="inlineStr">
        <is>
          <t>Kết quả gốc được kiểm tra và có bằng chứng gắn với CIN-SUB-208; ngoại lệ được ghi rõ.</t>
        </is>
      </c>
      <c r="AB209" s="2" t="inlineStr">
        <is>
          <t>Planned</t>
        </is>
      </c>
      <c r="AC209" s="2" t="inlineStr">
        <is>
          <t>Planned only; no completion evidence was transferred. Conditional/optional; confirm rubric, infrastructure and remaining capacity.</t>
        </is>
      </c>
    </row>
    <row r="210">
      <c r="A210" s="2" t="inlineStr">
        <is>
          <t>ORIG-209</t>
        </is>
      </c>
      <c r="B210" s="2" t="n">
        <v>210</v>
      </c>
      <c r="C210" s="2" t="inlineStr">
        <is>
          <t>Testing</t>
        </is>
      </c>
      <c r="D210" s="2" t="inlineStr">
        <is>
          <t>Kiểm thử</t>
        </is>
      </c>
      <c r="E210" s="2" t="inlineStr">
        <is>
          <t>Unit Test</t>
        </is>
      </c>
      <c r="F210" s="2" t="inlineStr">
        <is>
          <t>Test Service / Business Logic</t>
        </is>
      </c>
      <c r="G210" s="2" t="inlineStr">
        <is>
          <t>Bắt buộc</t>
        </is>
      </c>
      <c r="H210" s="2" t="inlineStr">
        <is>
          <t>Sprint 4</t>
        </is>
      </c>
      <c r="I210" s="2" t="inlineStr">
        <is>
          <t>Kiểm thử luồng chính và ràng buộc dữ liệu; độ sâu của từng loại test có thể điều chỉnh theo thời gian.</t>
        </is>
      </c>
      <c r="J210" s="2" t="inlineStr">
        <is>
          <t>PH-03</t>
        </is>
      </c>
      <c r="K210" s="2" t="inlineStr">
        <is>
          <t>Core Product Build</t>
        </is>
      </c>
      <c r="L210" s="2" t="inlineStr">
        <is>
          <t>CIN-T-035</t>
        </is>
      </c>
      <c r="M210" s="2" t="inlineStr">
        <is>
          <t>Kiểm thử unit, integration và luồng đặt vé cốt lõi</t>
        </is>
      </c>
      <c r="N210" s="2" t="inlineStr">
        <is>
          <t>24120235</t>
        </is>
      </c>
      <c r="O210" s="2" t="inlineStr">
        <is>
          <t>Huynh Thanh Tu</t>
        </is>
      </c>
      <c r="P210" s="2" t="inlineStr">
        <is>
          <t>CIN-SUB-209</t>
        </is>
      </c>
      <c r="Q210" s="2" t="inlineStr">
        <is>
          <t>Sprint 4</t>
        </is>
      </c>
      <c r="R210" s="2" t="inlineStr">
        <is>
          <t>24120235</t>
        </is>
      </c>
      <c r="S210" s="2" t="inlineStr">
        <is>
          <t>Huynh Thanh Tu</t>
        </is>
      </c>
      <c r="T210" s="3" t="n">
        <v>46340</v>
      </c>
      <c r="U210" s="3" t="n">
        <v>46353</v>
      </c>
      <c r="V210" s="2" t="n">
        <v>3</v>
      </c>
      <c r="W210" s="2" t="inlineStr">
        <is>
          <t>High</t>
        </is>
      </c>
      <c r="X210" s="2" t="inlineStr">
        <is>
          <t>Testing</t>
        </is>
      </c>
      <c r="Y210" s="2" t="inlineStr">
        <is>
          <t>CIN-T-020, CIN-T-021, CIN-T-022, CIN-T-023, CIN-T-024, CIN-T-027</t>
        </is>
      </c>
      <c r="Z210" s="2" t="inlineStr">
        <is>
          <t>Hoàn tất kết quả gốc: Test Service / Business Logic.</t>
        </is>
      </c>
      <c r="AA210" s="2" t="inlineStr">
        <is>
          <t>Kết quả gốc được kiểm tra và có bằng chứng gắn với CIN-SUB-209; ngoại lệ được ghi rõ.</t>
        </is>
      </c>
      <c r="AB210" s="2" t="inlineStr">
        <is>
          <t>Planned</t>
        </is>
      </c>
      <c r="AC210" s="2" t="inlineStr">
        <is>
          <t>Planned only; no completion evidence was transferred.</t>
        </is>
      </c>
    </row>
    <row r="211">
      <c r="A211" s="2" t="inlineStr">
        <is>
          <t>ORIG-210</t>
        </is>
      </c>
      <c r="B211" s="2" t="n">
        <v>211</v>
      </c>
      <c r="C211" s="2" t="inlineStr">
        <is>
          <t>Testing</t>
        </is>
      </c>
      <c r="D211" s="2" t="n"/>
      <c r="E211" s="2" t="inlineStr">
        <is>
          <t>Integration Test</t>
        </is>
      </c>
      <c r="F211" s="2" t="inlineStr">
        <is>
          <t>Test API + Database</t>
        </is>
      </c>
      <c r="G211" s="2" t="inlineStr">
        <is>
          <t>Bắt buộc</t>
        </is>
      </c>
      <c r="H211" s="2" t="inlineStr">
        <is>
          <t>Sprint 4</t>
        </is>
      </c>
      <c r="I211" s="2" t="inlineStr">
        <is>
          <t>Kiểm thử luồng chính và ràng buộc dữ liệu; độ sâu của từng loại test có thể điều chỉnh theo thời gian.</t>
        </is>
      </c>
      <c r="J211" s="2" t="inlineStr">
        <is>
          <t>PH-03</t>
        </is>
      </c>
      <c r="K211" s="2" t="inlineStr">
        <is>
          <t>Core Product Build</t>
        </is>
      </c>
      <c r="L211" s="2" t="inlineStr">
        <is>
          <t>CIN-T-035</t>
        </is>
      </c>
      <c r="M211" s="2" t="inlineStr">
        <is>
          <t>Kiểm thử unit, integration và luồng đặt vé cốt lõi</t>
        </is>
      </c>
      <c r="N211" s="2" t="inlineStr">
        <is>
          <t>24120235</t>
        </is>
      </c>
      <c r="O211" s="2" t="inlineStr">
        <is>
          <t>Huynh Thanh Tu</t>
        </is>
      </c>
      <c r="P211" s="2" t="inlineStr">
        <is>
          <t>CIN-SUB-210</t>
        </is>
      </c>
      <c r="Q211" s="2" t="inlineStr">
        <is>
          <t>Sprint 4</t>
        </is>
      </c>
      <c r="R211" s="2" t="inlineStr">
        <is>
          <t>24120098</t>
        </is>
      </c>
      <c r="S211" s="2" t="inlineStr">
        <is>
          <t>Nguyen Quoc Nam</t>
        </is>
      </c>
      <c r="T211" s="3" t="n">
        <v>46340</v>
      </c>
      <c r="U211" s="3" t="n">
        <v>46353</v>
      </c>
      <c r="V211" s="2" t="n">
        <v>3</v>
      </c>
      <c r="W211" s="2" t="inlineStr">
        <is>
          <t>High</t>
        </is>
      </c>
      <c r="X211" s="2" t="inlineStr">
        <is>
          <t>Testing</t>
        </is>
      </c>
      <c r="Y211" s="2" t="inlineStr">
        <is>
          <t>CIN-T-020, CIN-T-021, CIN-T-022, CIN-T-023, CIN-T-024, CIN-T-027</t>
        </is>
      </c>
      <c r="Z211" s="2" t="inlineStr">
        <is>
          <t>Hoàn tất kết quả gốc: Test API + Database.</t>
        </is>
      </c>
      <c r="AA211" s="2" t="inlineStr">
        <is>
          <t>Kết quả gốc được kiểm tra và có bằng chứng gắn với CIN-SUB-210; ngoại lệ được ghi rõ.</t>
        </is>
      </c>
      <c r="AB211" s="2" t="inlineStr">
        <is>
          <t>Planned</t>
        </is>
      </c>
      <c r="AC211" s="2" t="inlineStr">
        <is>
          <t>Planned only; no completion evidence was transferred.</t>
        </is>
      </c>
    </row>
    <row r="212">
      <c r="A212" s="2" t="inlineStr">
        <is>
          <t>ORIG-211</t>
        </is>
      </c>
      <c r="B212" s="2" t="n">
        <v>212</v>
      </c>
      <c r="C212" s="2" t="inlineStr">
        <is>
          <t>Testing</t>
        </is>
      </c>
      <c r="D212" s="2" t="n"/>
      <c r="E212" s="2" t="inlineStr">
        <is>
          <t>Authentication Test</t>
        </is>
      </c>
      <c r="F212" s="2" t="inlineStr">
        <is>
          <t>Login / Role / Authorization</t>
        </is>
      </c>
      <c r="G212" s="2" t="inlineStr">
        <is>
          <t>Bắt buộc</t>
        </is>
      </c>
      <c r="H212" s="2" t="inlineStr">
        <is>
          <t>Sprint 4</t>
        </is>
      </c>
      <c r="I212" s="2" t="inlineStr">
        <is>
          <t>Kiểm thử luồng chính và ràng buộc dữ liệu; độ sâu của từng loại test có thể điều chỉnh theo thời gian.</t>
        </is>
      </c>
      <c r="J212" s="2" t="inlineStr">
        <is>
          <t>PH-03</t>
        </is>
      </c>
      <c r="K212" s="2" t="inlineStr">
        <is>
          <t>Core Product Build</t>
        </is>
      </c>
      <c r="L212" s="2" t="inlineStr">
        <is>
          <t>CIN-T-035</t>
        </is>
      </c>
      <c r="M212" s="2" t="inlineStr">
        <is>
          <t>Kiểm thử unit, integration và luồng đặt vé cốt lõi</t>
        </is>
      </c>
      <c r="N212" s="2" t="inlineStr">
        <is>
          <t>24120235</t>
        </is>
      </c>
      <c r="O212" s="2" t="inlineStr">
        <is>
          <t>Huynh Thanh Tu</t>
        </is>
      </c>
      <c r="P212" s="2" t="inlineStr">
        <is>
          <t>CIN-SUB-211</t>
        </is>
      </c>
      <c r="Q212" s="2" t="inlineStr">
        <is>
          <t>Sprint 4</t>
        </is>
      </c>
      <c r="R212" s="2" t="inlineStr">
        <is>
          <t>24120255</t>
        </is>
      </c>
      <c r="S212" s="2" t="inlineStr">
        <is>
          <t>Tran Thien An</t>
        </is>
      </c>
      <c r="T212" s="3" t="n">
        <v>46340</v>
      </c>
      <c r="U212" s="3" t="n">
        <v>46353</v>
      </c>
      <c r="V212" s="2" t="n">
        <v>3</v>
      </c>
      <c r="W212" s="2" t="inlineStr">
        <is>
          <t>High</t>
        </is>
      </c>
      <c r="X212" s="2" t="inlineStr">
        <is>
          <t>Testing</t>
        </is>
      </c>
      <c r="Y212" s="2" t="inlineStr">
        <is>
          <t>CIN-T-020, CIN-T-021, CIN-T-022, CIN-T-023, CIN-T-024, CIN-T-027</t>
        </is>
      </c>
      <c r="Z212" s="2" t="inlineStr">
        <is>
          <t>Hoàn tất kết quả gốc: Login / Role / Authorization.</t>
        </is>
      </c>
      <c r="AA212" s="2" t="inlineStr">
        <is>
          <t>Kết quả gốc được kiểm tra và có bằng chứng gắn với CIN-SUB-211; ngoại lệ được ghi rõ.</t>
        </is>
      </c>
      <c r="AB212" s="2" t="inlineStr">
        <is>
          <t>Planned</t>
        </is>
      </c>
      <c r="AC212" s="2" t="inlineStr">
        <is>
          <t>Planned only; no completion evidence was transferred.</t>
        </is>
      </c>
    </row>
    <row r="213">
      <c r="A213" s="2" t="inlineStr">
        <is>
          <t>ORIG-212</t>
        </is>
      </c>
      <c r="B213" s="2" t="n">
        <v>213</v>
      </c>
      <c r="C213" s="2" t="inlineStr">
        <is>
          <t>Testing</t>
        </is>
      </c>
      <c r="D213" s="2" t="n"/>
      <c r="E213" s="2" t="inlineStr">
        <is>
          <t>Movie Test</t>
        </is>
      </c>
      <c r="F213" s="2" t="inlineStr">
        <is>
          <t>CRUD Movie</t>
        </is>
      </c>
      <c r="G213" s="2" t="inlineStr">
        <is>
          <t>Bắt buộc</t>
        </is>
      </c>
      <c r="H213" s="2" t="inlineStr">
        <is>
          <t>Sprint 4</t>
        </is>
      </c>
      <c r="I213" s="2" t="inlineStr">
        <is>
          <t>Kiểm thử luồng chính và ràng buộc dữ liệu; độ sâu của từng loại test có thể điều chỉnh theo thời gian.</t>
        </is>
      </c>
      <c r="J213" s="2" t="inlineStr">
        <is>
          <t>PH-03</t>
        </is>
      </c>
      <c r="K213" s="2" t="inlineStr">
        <is>
          <t>Core Product Build</t>
        </is>
      </c>
      <c r="L213" s="2" t="inlineStr">
        <is>
          <t>CIN-T-035</t>
        </is>
      </c>
      <c r="M213" s="2" t="inlineStr">
        <is>
          <t>Kiểm thử unit, integration và luồng đặt vé cốt lõi</t>
        </is>
      </c>
      <c r="N213" s="2" t="inlineStr">
        <is>
          <t>24120235</t>
        </is>
      </c>
      <c r="O213" s="2" t="inlineStr">
        <is>
          <t>Huynh Thanh Tu</t>
        </is>
      </c>
      <c r="P213" s="2" t="inlineStr">
        <is>
          <t>CIN-SUB-212</t>
        </is>
      </c>
      <c r="Q213" s="2" t="inlineStr">
        <is>
          <t>Sprint 4</t>
        </is>
      </c>
      <c r="R213" s="2" t="inlineStr">
        <is>
          <t>24120244</t>
        </is>
      </c>
      <c r="S213" s="2" t="inlineStr">
        <is>
          <t>Phan Van Viet</t>
        </is>
      </c>
      <c r="T213" s="3" t="n">
        <v>46340</v>
      </c>
      <c r="U213" s="3" t="n">
        <v>46353</v>
      </c>
      <c r="V213" s="2" t="n">
        <v>3</v>
      </c>
      <c r="W213" s="2" t="inlineStr">
        <is>
          <t>High</t>
        </is>
      </c>
      <c r="X213" s="2" t="inlineStr">
        <is>
          <t>Testing</t>
        </is>
      </c>
      <c r="Y213" s="2" t="inlineStr">
        <is>
          <t>CIN-T-020, CIN-T-021, CIN-T-022, CIN-T-023, CIN-T-024, CIN-T-027</t>
        </is>
      </c>
      <c r="Z213" s="2" t="inlineStr">
        <is>
          <t>Hoàn tất kết quả gốc: CRUD Movie.</t>
        </is>
      </c>
      <c r="AA213" s="2" t="inlineStr">
        <is>
          <t>Kết quả gốc được kiểm tra và có bằng chứng gắn với CIN-SUB-212; ngoại lệ được ghi rõ.</t>
        </is>
      </c>
      <c r="AB213" s="2" t="inlineStr">
        <is>
          <t>Planned</t>
        </is>
      </c>
      <c r="AC213" s="2" t="inlineStr">
        <is>
          <t>Planned only; no completion evidence was transferred.</t>
        </is>
      </c>
    </row>
    <row r="214">
      <c r="A214" s="2" t="inlineStr">
        <is>
          <t>ORIG-213</t>
        </is>
      </c>
      <c r="B214" s="2" t="n">
        <v>214</v>
      </c>
      <c r="C214" s="2" t="inlineStr">
        <is>
          <t>Testing</t>
        </is>
      </c>
      <c r="D214" s="2" t="n"/>
      <c r="E214" s="2" t="inlineStr">
        <is>
          <t>Showtime Test</t>
        </is>
      </c>
      <c r="F214" s="2" t="inlineStr">
        <is>
          <t>Tạo và kiểm tra xung đột lịch</t>
        </is>
      </c>
      <c r="G214" s="2" t="inlineStr">
        <is>
          <t>Bắt buộc</t>
        </is>
      </c>
      <c r="H214" s="2" t="inlineStr">
        <is>
          <t>Sprint 4</t>
        </is>
      </c>
      <c r="I214" s="2" t="inlineStr">
        <is>
          <t>Kiểm thử luồng chính và ràng buộc dữ liệu; độ sâu của từng loại test có thể điều chỉnh theo thời gian.</t>
        </is>
      </c>
      <c r="J214" s="2" t="inlineStr">
        <is>
          <t>PH-03</t>
        </is>
      </c>
      <c r="K214" s="2" t="inlineStr">
        <is>
          <t>Core Product Build</t>
        </is>
      </c>
      <c r="L214" s="2" t="inlineStr">
        <is>
          <t>CIN-T-035</t>
        </is>
      </c>
      <c r="M214" s="2" t="inlineStr">
        <is>
          <t>Kiểm thử unit, integration và luồng đặt vé cốt lõi</t>
        </is>
      </c>
      <c r="N214" s="2" t="inlineStr">
        <is>
          <t>24120235</t>
        </is>
      </c>
      <c r="O214" s="2" t="inlineStr">
        <is>
          <t>Huynh Thanh Tu</t>
        </is>
      </c>
      <c r="P214" s="2" t="inlineStr">
        <is>
          <t>CIN-SUB-213</t>
        </is>
      </c>
      <c r="Q214" s="2" t="inlineStr">
        <is>
          <t>Sprint 4</t>
        </is>
      </c>
      <c r="R214" s="2" t="inlineStr">
        <is>
          <t>24120271</t>
        </is>
      </c>
      <c r="S214" s="2" t="inlineStr">
        <is>
          <t>Nguyen Trung Chinh</t>
        </is>
      </c>
      <c r="T214" s="3" t="n">
        <v>46340</v>
      </c>
      <c r="U214" s="3" t="n">
        <v>46353</v>
      </c>
      <c r="V214" s="2" t="n">
        <v>3</v>
      </c>
      <c r="W214" s="2" t="inlineStr">
        <is>
          <t>High</t>
        </is>
      </c>
      <c r="X214" s="2" t="inlineStr">
        <is>
          <t>Testing</t>
        </is>
      </c>
      <c r="Y214" s="2" t="inlineStr">
        <is>
          <t>CIN-T-020, CIN-T-021, CIN-T-022, CIN-T-023, CIN-T-024, CIN-T-027</t>
        </is>
      </c>
      <c r="Z214" s="2" t="inlineStr">
        <is>
          <t>Hoàn tất kết quả gốc: Tạo và kiểm tra xung đột lịch.</t>
        </is>
      </c>
      <c r="AA214" s="2" t="inlineStr">
        <is>
          <t>Kết quả gốc được kiểm tra và có bằng chứng gắn với CIN-SUB-213; ngoại lệ được ghi rõ.</t>
        </is>
      </c>
      <c r="AB214" s="2" t="inlineStr">
        <is>
          <t>Planned</t>
        </is>
      </c>
      <c r="AC214" s="2" t="inlineStr">
        <is>
          <t>Planned only; no completion evidence was transferred.</t>
        </is>
      </c>
    </row>
    <row r="215">
      <c r="A215" s="2" t="inlineStr">
        <is>
          <t>ORIG-214</t>
        </is>
      </c>
      <c r="B215" s="2" t="n">
        <v>215</v>
      </c>
      <c r="C215" s="2" t="inlineStr">
        <is>
          <t>Testing</t>
        </is>
      </c>
      <c r="D215" s="2" t="n"/>
      <c r="E215" s="2" t="inlineStr">
        <is>
          <t>Seat Test</t>
        </is>
      </c>
      <c r="F215" s="2" t="inlineStr">
        <is>
          <t>Availability / Held / Sold</t>
        </is>
      </c>
      <c r="G215" s="2" t="inlineStr">
        <is>
          <t>Bắt buộc</t>
        </is>
      </c>
      <c r="H215" s="2" t="inlineStr">
        <is>
          <t>Sprint 4</t>
        </is>
      </c>
      <c r="I215" s="2" t="inlineStr">
        <is>
          <t>Kiểm thử luồng chính và ràng buộc dữ liệu; độ sâu của từng loại test có thể điều chỉnh theo thời gian.</t>
        </is>
      </c>
      <c r="J215" s="2" t="inlineStr">
        <is>
          <t>PH-03</t>
        </is>
      </c>
      <c r="K215" s="2" t="inlineStr">
        <is>
          <t>Core Product Build</t>
        </is>
      </c>
      <c r="L215" s="2" t="inlineStr">
        <is>
          <t>CIN-T-035</t>
        </is>
      </c>
      <c r="M215" s="2" t="inlineStr">
        <is>
          <t>Kiểm thử unit, integration và luồng đặt vé cốt lõi</t>
        </is>
      </c>
      <c r="N215" s="2" t="inlineStr">
        <is>
          <t>24120235</t>
        </is>
      </c>
      <c r="O215" s="2" t="inlineStr">
        <is>
          <t>Huynh Thanh Tu</t>
        </is>
      </c>
      <c r="P215" s="2" t="inlineStr">
        <is>
          <t>CIN-SUB-214</t>
        </is>
      </c>
      <c r="Q215" s="2" t="inlineStr">
        <is>
          <t>Sprint 4</t>
        </is>
      </c>
      <c r="R215" s="2" t="inlineStr">
        <is>
          <t>24120235</t>
        </is>
      </c>
      <c r="S215" s="2" t="inlineStr">
        <is>
          <t>Huynh Thanh Tu</t>
        </is>
      </c>
      <c r="T215" s="3" t="n">
        <v>46340</v>
      </c>
      <c r="U215" s="3" t="n">
        <v>46353</v>
      </c>
      <c r="V215" s="2" t="n">
        <v>3</v>
      </c>
      <c r="W215" s="2" t="inlineStr">
        <is>
          <t>High</t>
        </is>
      </c>
      <c r="X215" s="2" t="inlineStr">
        <is>
          <t>Testing</t>
        </is>
      </c>
      <c r="Y215" s="2" t="inlineStr">
        <is>
          <t>CIN-T-020, CIN-T-021, CIN-T-022, CIN-T-023, CIN-T-024, CIN-T-027</t>
        </is>
      </c>
      <c r="Z215" s="2" t="inlineStr">
        <is>
          <t>Hoàn tất kết quả gốc: Availability / Held / Sold.</t>
        </is>
      </c>
      <c r="AA215" s="2" t="inlineStr">
        <is>
          <t>Kết quả gốc được kiểm tra và có bằng chứng gắn với CIN-SUB-214; ngoại lệ được ghi rõ.</t>
        </is>
      </c>
      <c r="AB215" s="2" t="inlineStr">
        <is>
          <t>Planned</t>
        </is>
      </c>
      <c r="AC215" s="2" t="inlineStr">
        <is>
          <t>Planned only; no completion evidence was transferred.</t>
        </is>
      </c>
    </row>
    <row r="216">
      <c r="A216" s="2" t="inlineStr">
        <is>
          <t>ORIG-215</t>
        </is>
      </c>
      <c r="B216" s="2" t="n">
        <v>216</v>
      </c>
      <c r="C216" s="2" t="inlineStr">
        <is>
          <t>Testing</t>
        </is>
      </c>
      <c r="D216" s="2" t="n"/>
      <c r="E216" s="2" t="inlineStr">
        <is>
          <t>Booking Test</t>
        </is>
      </c>
      <c r="F216" s="2" t="inlineStr">
        <is>
          <t>Đặt vé</t>
        </is>
      </c>
      <c r="G216" s="2" t="inlineStr">
        <is>
          <t>Bắt buộc</t>
        </is>
      </c>
      <c r="H216" s="2" t="inlineStr">
        <is>
          <t>Sprint 4</t>
        </is>
      </c>
      <c r="I216" s="2" t="inlineStr">
        <is>
          <t>Kiểm thử luồng chính và ràng buộc dữ liệu; độ sâu của từng loại test có thể điều chỉnh theo thời gian.</t>
        </is>
      </c>
      <c r="J216" s="2" t="inlineStr">
        <is>
          <t>PH-03</t>
        </is>
      </c>
      <c r="K216" s="2" t="inlineStr">
        <is>
          <t>Core Product Build</t>
        </is>
      </c>
      <c r="L216" s="2" t="inlineStr">
        <is>
          <t>CIN-T-035</t>
        </is>
      </c>
      <c r="M216" s="2" t="inlineStr">
        <is>
          <t>Kiểm thử unit, integration và luồng đặt vé cốt lõi</t>
        </is>
      </c>
      <c r="N216" s="2" t="inlineStr">
        <is>
          <t>24120235</t>
        </is>
      </c>
      <c r="O216" s="2" t="inlineStr">
        <is>
          <t>Huynh Thanh Tu</t>
        </is>
      </c>
      <c r="P216" s="2" t="inlineStr">
        <is>
          <t>CIN-SUB-215</t>
        </is>
      </c>
      <c r="Q216" s="2" t="inlineStr">
        <is>
          <t>Sprint 4</t>
        </is>
      </c>
      <c r="R216" s="2" t="inlineStr">
        <is>
          <t>24120098</t>
        </is>
      </c>
      <c r="S216" s="2" t="inlineStr">
        <is>
          <t>Nguyen Quoc Nam</t>
        </is>
      </c>
      <c r="T216" s="3" t="n">
        <v>46340</v>
      </c>
      <c r="U216" s="3" t="n">
        <v>46353</v>
      </c>
      <c r="V216" s="2" t="n">
        <v>3</v>
      </c>
      <c r="W216" s="2" t="inlineStr">
        <is>
          <t>High</t>
        </is>
      </c>
      <c r="X216" s="2" t="inlineStr">
        <is>
          <t>Testing</t>
        </is>
      </c>
      <c r="Y216" s="2" t="inlineStr">
        <is>
          <t>CIN-T-020, CIN-T-021, CIN-T-022, CIN-T-023, CIN-T-024, CIN-T-027</t>
        </is>
      </c>
      <c r="Z216" s="2" t="inlineStr">
        <is>
          <t>Hoàn tất kết quả gốc: Đặt vé.</t>
        </is>
      </c>
      <c r="AA216" s="2" t="inlineStr">
        <is>
          <t>Kết quả gốc được kiểm tra và có bằng chứng gắn với CIN-SUB-215; ngoại lệ được ghi rõ.</t>
        </is>
      </c>
      <c r="AB216" s="2" t="inlineStr">
        <is>
          <t>Planned</t>
        </is>
      </c>
      <c r="AC216" s="2" t="inlineStr">
        <is>
          <t>Planned only; no completion evidence was transferred.</t>
        </is>
      </c>
    </row>
    <row r="217">
      <c r="A217" s="2" t="inlineStr">
        <is>
          <t>ORIG-216</t>
        </is>
      </c>
      <c r="B217" s="2" t="n">
        <v>217</v>
      </c>
      <c r="C217" s="2" t="inlineStr">
        <is>
          <t>Testing</t>
        </is>
      </c>
      <c r="D217" s="2" t="n"/>
      <c r="E217" s="2" t="inlineStr">
        <is>
          <t>Concurrency Test</t>
        </is>
      </c>
      <c r="F217" s="2" t="inlineStr">
        <is>
          <t>Nhiều người cùng đặt một ghế</t>
        </is>
      </c>
      <c r="G217" s="2" t="inlineStr">
        <is>
          <t>Bắt buộc</t>
        </is>
      </c>
      <c r="H217" s="2" t="inlineStr">
        <is>
          <t>Sprint 4</t>
        </is>
      </c>
      <c r="I217" s="2" t="inlineStr">
        <is>
          <t>Kiểm thử luồng chính và ràng buộc dữ liệu; độ sâu của từng loại test có thể điều chỉnh theo thời gian.</t>
        </is>
      </c>
      <c r="J217" s="2" t="inlineStr">
        <is>
          <t>PH-03</t>
        </is>
      </c>
      <c r="K217" s="2" t="inlineStr">
        <is>
          <t>Core Product Build</t>
        </is>
      </c>
      <c r="L217" s="2" t="inlineStr">
        <is>
          <t>CIN-T-035</t>
        </is>
      </c>
      <c r="M217" s="2" t="inlineStr">
        <is>
          <t>Kiểm thử unit, integration và luồng đặt vé cốt lõi</t>
        </is>
      </c>
      <c r="N217" s="2" t="inlineStr">
        <is>
          <t>24120235</t>
        </is>
      </c>
      <c r="O217" s="2" t="inlineStr">
        <is>
          <t>Huynh Thanh Tu</t>
        </is>
      </c>
      <c r="P217" s="2" t="inlineStr">
        <is>
          <t>CIN-SUB-216</t>
        </is>
      </c>
      <c r="Q217" s="2" t="inlineStr">
        <is>
          <t>Sprint 4</t>
        </is>
      </c>
      <c r="R217" s="2" t="inlineStr">
        <is>
          <t>24120255</t>
        </is>
      </c>
      <c r="S217" s="2" t="inlineStr">
        <is>
          <t>Tran Thien An</t>
        </is>
      </c>
      <c r="T217" s="3" t="n">
        <v>46340</v>
      </c>
      <c r="U217" s="3" t="n">
        <v>46353</v>
      </c>
      <c r="V217" s="2" t="n">
        <v>3</v>
      </c>
      <c r="W217" s="2" t="inlineStr">
        <is>
          <t>High</t>
        </is>
      </c>
      <c r="X217" s="2" t="inlineStr">
        <is>
          <t>Testing</t>
        </is>
      </c>
      <c r="Y217" s="2" t="inlineStr">
        <is>
          <t>CIN-T-020, CIN-T-021, CIN-T-022, CIN-T-023, CIN-T-024, CIN-T-027</t>
        </is>
      </c>
      <c r="Z217" s="2" t="inlineStr">
        <is>
          <t>Hoàn tất kết quả gốc: Nhiều người cùng đặt một ghế.</t>
        </is>
      </c>
      <c r="AA217" s="2" t="inlineStr">
        <is>
          <t>Kết quả gốc được kiểm tra và có bằng chứng gắn với CIN-SUB-216; ngoại lệ được ghi rõ.</t>
        </is>
      </c>
      <c r="AB217" s="2" t="inlineStr">
        <is>
          <t>Planned</t>
        </is>
      </c>
      <c r="AC217" s="2" t="inlineStr">
        <is>
          <t>Planned only; no completion evidence was transferred.</t>
        </is>
      </c>
    </row>
    <row r="218">
      <c r="A218" s="2" t="inlineStr">
        <is>
          <t>ORIG-217</t>
        </is>
      </c>
      <c r="B218" s="2" t="n">
        <v>218</v>
      </c>
      <c r="C218" s="2" t="inlineStr">
        <is>
          <t>Testing</t>
        </is>
      </c>
      <c r="D218" s="2" t="n"/>
      <c r="E218" s="2" t="inlineStr">
        <is>
          <t>Payment Test</t>
        </is>
      </c>
      <c r="F218" s="2" t="inlineStr">
        <is>
          <t>Success / Failed / Timeout</t>
        </is>
      </c>
      <c r="G218" s="2" t="inlineStr">
        <is>
          <t>Bắt buộc</t>
        </is>
      </c>
      <c r="H218" s="2" t="inlineStr">
        <is>
          <t>Sprint 4</t>
        </is>
      </c>
      <c r="I218" s="2" t="inlineStr">
        <is>
          <t>Kiểm thử luồng chính và ràng buộc dữ liệu; độ sâu của từng loại test có thể điều chỉnh theo thời gian.</t>
        </is>
      </c>
      <c r="J218" s="2" t="inlineStr">
        <is>
          <t>PH-03</t>
        </is>
      </c>
      <c r="K218" s="2" t="inlineStr">
        <is>
          <t>Core Product Build</t>
        </is>
      </c>
      <c r="L218" s="2" t="inlineStr">
        <is>
          <t>CIN-T-035</t>
        </is>
      </c>
      <c r="M218" s="2" t="inlineStr">
        <is>
          <t>Kiểm thử unit, integration và luồng đặt vé cốt lõi</t>
        </is>
      </c>
      <c r="N218" s="2" t="inlineStr">
        <is>
          <t>24120235</t>
        </is>
      </c>
      <c r="O218" s="2" t="inlineStr">
        <is>
          <t>Huynh Thanh Tu</t>
        </is>
      </c>
      <c r="P218" s="2" t="inlineStr">
        <is>
          <t>CIN-SUB-217</t>
        </is>
      </c>
      <c r="Q218" s="2" t="inlineStr">
        <is>
          <t>Sprint 4</t>
        </is>
      </c>
      <c r="R218" s="2" t="inlineStr">
        <is>
          <t>24120244</t>
        </is>
      </c>
      <c r="S218" s="2" t="inlineStr">
        <is>
          <t>Phan Van Viet</t>
        </is>
      </c>
      <c r="T218" s="3" t="n">
        <v>46340</v>
      </c>
      <c r="U218" s="3" t="n">
        <v>46353</v>
      </c>
      <c r="V218" s="2" t="n">
        <v>3</v>
      </c>
      <c r="W218" s="2" t="inlineStr">
        <is>
          <t>High</t>
        </is>
      </c>
      <c r="X218" s="2" t="inlineStr">
        <is>
          <t>Testing</t>
        </is>
      </c>
      <c r="Y218" s="2" t="inlineStr">
        <is>
          <t>CIN-T-020, CIN-T-021, CIN-T-022, CIN-T-023, CIN-T-024, CIN-T-027</t>
        </is>
      </c>
      <c r="Z218" s="2" t="inlineStr">
        <is>
          <t>Hoàn tất kết quả gốc: Success / Failed / Timeout.</t>
        </is>
      </c>
      <c r="AA218" s="2" t="inlineStr">
        <is>
          <t>Kết quả gốc được kiểm tra và có bằng chứng gắn với CIN-SUB-217; ngoại lệ được ghi rõ.</t>
        </is>
      </c>
      <c r="AB218" s="2" t="inlineStr">
        <is>
          <t>Planned</t>
        </is>
      </c>
      <c r="AC218" s="2" t="inlineStr">
        <is>
          <t>Planned only; no completion evidence was transferred.</t>
        </is>
      </c>
    </row>
    <row r="219">
      <c r="A219" s="2" t="inlineStr">
        <is>
          <t>ORIG-218</t>
        </is>
      </c>
      <c r="B219" s="2" t="n">
        <v>219</v>
      </c>
      <c r="C219" s="2" t="inlineStr">
        <is>
          <t>Testing</t>
        </is>
      </c>
      <c r="D219" s="2" t="n"/>
      <c r="E219" s="2" t="inlineStr">
        <is>
          <t>Ticket Test</t>
        </is>
      </c>
      <c r="F219" s="2" t="inlineStr">
        <is>
          <t>Phát hành và xác thực vé</t>
        </is>
      </c>
      <c r="G219" s="2" t="inlineStr">
        <is>
          <t>Bắt buộc</t>
        </is>
      </c>
      <c r="H219" s="2" t="inlineStr">
        <is>
          <t>Sprint 4</t>
        </is>
      </c>
      <c r="I219" s="2" t="inlineStr">
        <is>
          <t>Kiểm thử luồng chính và ràng buộc dữ liệu; độ sâu của từng loại test có thể điều chỉnh theo thời gian.</t>
        </is>
      </c>
      <c r="J219" s="2" t="inlineStr">
        <is>
          <t>PH-03</t>
        </is>
      </c>
      <c r="K219" s="2" t="inlineStr">
        <is>
          <t>Core Product Build</t>
        </is>
      </c>
      <c r="L219" s="2" t="inlineStr">
        <is>
          <t>CIN-T-035</t>
        </is>
      </c>
      <c r="M219" s="2" t="inlineStr">
        <is>
          <t>Kiểm thử unit, integration và luồng đặt vé cốt lõi</t>
        </is>
      </c>
      <c r="N219" s="2" t="inlineStr">
        <is>
          <t>24120235</t>
        </is>
      </c>
      <c r="O219" s="2" t="inlineStr">
        <is>
          <t>Huynh Thanh Tu</t>
        </is>
      </c>
      <c r="P219" s="2" t="inlineStr">
        <is>
          <t>CIN-SUB-218</t>
        </is>
      </c>
      <c r="Q219" s="2" t="inlineStr">
        <is>
          <t>Sprint 4</t>
        </is>
      </c>
      <c r="R219" s="2" t="inlineStr">
        <is>
          <t>24120271</t>
        </is>
      </c>
      <c r="S219" s="2" t="inlineStr">
        <is>
          <t>Nguyen Trung Chinh</t>
        </is>
      </c>
      <c r="T219" s="3" t="n">
        <v>46340</v>
      </c>
      <c r="U219" s="3" t="n">
        <v>46353</v>
      </c>
      <c r="V219" s="2" t="n">
        <v>3</v>
      </c>
      <c r="W219" s="2" t="inlineStr">
        <is>
          <t>High</t>
        </is>
      </c>
      <c r="X219" s="2" t="inlineStr">
        <is>
          <t>Testing</t>
        </is>
      </c>
      <c r="Y219" s="2" t="inlineStr">
        <is>
          <t>CIN-T-020, CIN-T-021, CIN-T-022, CIN-T-023, CIN-T-024, CIN-T-027</t>
        </is>
      </c>
      <c r="Z219" s="2" t="inlineStr">
        <is>
          <t>Hoàn tất kết quả gốc: Phát hành và xác thực vé.</t>
        </is>
      </c>
      <c r="AA219" s="2" t="inlineStr">
        <is>
          <t>Kết quả gốc được kiểm tra và có bằng chứng gắn với CIN-SUB-218; ngoại lệ được ghi rõ.</t>
        </is>
      </c>
      <c r="AB219" s="2" t="inlineStr">
        <is>
          <t>Planned</t>
        </is>
      </c>
      <c r="AC219" s="2" t="inlineStr">
        <is>
          <t>Planned only; no completion evidence was transferred.</t>
        </is>
      </c>
    </row>
    <row r="220">
      <c r="A220" s="2" t="inlineStr">
        <is>
          <t>ORIG-219</t>
        </is>
      </c>
      <c r="B220" s="2" t="n">
        <v>220</v>
      </c>
      <c r="C220" s="2" t="inlineStr">
        <is>
          <t>Testing</t>
        </is>
      </c>
      <c r="D220" s="2" t="n"/>
      <c r="E220" s="2" t="inlineStr">
        <is>
          <t>Frontend Test</t>
        </is>
      </c>
      <c r="F220" s="2" t="inlineStr">
        <is>
          <t>UI / Form / Navigation</t>
        </is>
      </c>
      <c r="G220" s="2" t="inlineStr">
        <is>
          <t>Bắt buộc</t>
        </is>
      </c>
      <c r="H220" s="2" t="inlineStr">
        <is>
          <t>Sprint 4</t>
        </is>
      </c>
      <c r="I220" s="2" t="inlineStr">
        <is>
          <t>Lập kế hoạch sớm, kiểm thử song song; Sprint 5 dành cho regression/smoke test.</t>
        </is>
      </c>
      <c r="J220" s="2" t="inlineStr">
        <is>
          <t>PH-03</t>
        </is>
      </c>
      <c r="K220" s="2" t="inlineStr">
        <is>
          <t>Core Product Build</t>
        </is>
      </c>
      <c r="L220" s="2" t="inlineStr">
        <is>
          <t>CIN-T-035</t>
        </is>
      </c>
      <c r="M220" s="2" t="inlineStr">
        <is>
          <t>Kiểm thử unit, integration và luồng đặt vé cốt lõi</t>
        </is>
      </c>
      <c r="N220" s="2" t="inlineStr">
        <is>
          <t>24120235</t>
        </is>
      </c>
      <c r="O220" s="2" t="inlineStr">
        <is>
          <t>Huynh Thanh Tu</t>
        </is>
      </c>
      <c r="P220" s="2" t="inlineStr">
        <is>
          <t>CIN-SUB-219</t>
        </is>
      </c>
      <c r="Q220" s="2" t="inlineStr">
        <is>
          <t>Sprint 4</t>
        </is>
      </c>
      <c r="R220" s="2" t="inlineStr">
        <is>
          <t>24120235</t>
        </is>
      </c>
      <c r="S220" s="2" t="inlineStr">
        <is>
          <t>Huynh Thanh Tu</t>
        </is>
      </c>
      <c r="T220" s="3" t="n">
        <v>46340</v>
      </c>
      <c r="U220" s="3" t="n">
        <v>46353</v>
      </c>
      <c r="V220" s="2" t="n">
        <v>3</v>
      </c>
      <c r="W220" s="2" t="inlineStr">
        <is>
          <t>High</t>
        </is>
      </c>
      <c r="X220" s="2" t="inlineStr">
        <is>
          <t>Testing</t>
        </is>
      </c>
      <c r="Y220" s="2" t="inlineStr">
        <is>
          <t>CIN-T-020, CIN-T-021, CIN-T-022, CIN-T-023, CIN-T-024, CIN-T-027</t>
        </is>
      </c>
      <c r="Z220" s="2" t="inlineStr">
        <is>
          <t>Hoàn tất kết quả gốc: UI / Form / Navigation.</t>
        </is>
      </c>
      <c r="AA220" s="2" t="inlineStr">
        <is>
          <t>Kết quả gốc được kiểm tra và có bằng chứng gắn với CIN-SUB-219; ngoại lệ được ghi rõ.</t>
        </is>
      </c>
      <c r="AB220" s="2" t="inlineStr">
        <is>
          <t>Planned</t>
        </is>
      </c>
      <c r="AC220" s="2" t="inlineStr">
        <is>
          <t>Planned only; no completion evidence was transferred.</t>
        </is>
      </c>
    </row>
    <row r="221">
      <c r="A221" s="2" t="inlineStr">
        <is>
          <t>ORIG-220</t>
        </is>
      </c>
      <c r="B221" s="2" t="n">
        <v>221</v>
      </c>
      <c r="C221" s="2" t="inlineStr">
        <is>
          <t>Testing</t>
        </is>
      </c>
      <c r="D221" s="2" t="n"/>
      <c r="E221" s="2" t="inlineStr">
        <is>
          <t>End-to-End Test</t>
        </is>
      </c>
      <c r="F221" s="2" t="inlineStr">
        <is>
          <t>Test toàn bộ flow mua vé</t>
        </is>
      </c>
      <c r="G221" s="2" t="inlineStr">
        <is>
          <t>Bắt buộc</t>
        </is>
      </c>
      <c r="H221" s="2" t="inlineStr">
        <is>
          <t>Sprint 4</t>
        </is>
      </c>
      <c r="I221" s="2" t="inlineStr">
        <is>
          <t>Lập kế hoạch sớm, kiểm thử song song; Sprint 5 dành cho regression/smoke test.</t>
        </is>
      </c>
      <c r="J221" s="2" t="inlineStr">
        <is>
          <t>PH-03</t>
        </is>
      </c>
      <c r="K221" s="2" t="inlineStr">
        <is>
          <t>Core Product Build</t>
        </is>
      </c>
      <c r="L221" s="2" t="inlineStr">
        <is>
          <t>CIN-T-035</t>
        </is>
      </c>
      <c r="M221" s="2" t="inlineStr">
        <is>
          <t>Kiểm thử unit, integration và luồng đặt vé cốt lõi</t>
        </is>
      </c>
      <c r="N221" s="2" t="inlineStr">
        <is>
          <t>24120235</t>
        </is>
      </c>
      <c r="O221" s="2" t="inlineStr">
        <is>
          <t>Huynh Thanh Tu</t>
        </is>
      </c>
      <c r="P221" s="2" t="inlineStr">
        <is>
          <t>CIN-SUB-220</t>
        </is>
      </c>
      <c r="Q221" s="2" t="inlineStr">
        <is>
          <t>Sprint 4</t>
        </is>
      </c>
      <c r="R221" s="2" t="inlineStr">
        <is>
          <t>24120098</t>
        </is>
      </c>
      <c r="S221" s="2" t="inlineStr">
        <is>
          <t>Nguyen Quoc Nam</t>
        </is>
      </c>
      <c r="T221" s="3" t="n">
        <v>46340</v>
      </c>
      <c r="U221" s="3" t="n">
        <v>46353</v>
      </c>
      <c r="V221" s="2" t="n">
        <v>3</v>
      </c>
      <c r="W221" s="2" t="inlineStr">
        <is>
          <t>High</t>
        </is>
      </c>
      <c r="X221" s="2" t="inlineStr">
        <is>
          <t>Testing</t>
        </is>
      </c>
      <c r="Y221" s="2" t="inlineStr">
        <is>
          <t>CIN-T-020, CIN-T-021, CIN-T-022, CIN-T-023, CIN-T-024, CIN-T-027</t>
        </is>
      </c>
      <c r="Z221" s="2" t="inlineStr">
        <is>
          <t>Hoàn tất kết quả gốc: Test toàn bộ flow mua vé.</t>
        </is>
      </c>
      <c r="AA221" s="2" t="inlineStr">
        <is>
          <t>Kết quả gốc được kiểm tra và có bằng chứng gắn với CIN-SUB-220; ngoại lệ được ghi rõ.</t>
        </is>
      </c>
      <c r="AB221" s="2" t="inlineStr">
        <is>
          <t>Planned</t>
        </is>
      </c>
      <c r="AC221" s="2" t="inlineStr">
        <is>
          <t>Planned only; no completion evidence was transferred.</t>
        </is>
      </c>
    </row>
    <row r="222">
      <c r="A222" s="2" t="inlineStr">
        <is>
          <t>ORIG-221</t>
        </is>
      </c>
      <c r="B222" s="2" t="n">
        <v>222</v>
      </c>
      <c r="C222" s="2" t="inlineStr">
        <is>
          <t>Testing</t>
        </is>
      </c>
      <c r="D222" s="2" t="n"/>
      <c r="E222" s="2" t="inlineStr">
        <is>
          <t>Regression Test</t>
        </is>
      </c>
      <c r="F222" s="2" t="inlineStr">
        <is>
          <t>Đảm bảo chức năng cũ không bị phá vỡ</t>
        </is>
      </c>
      <c r="G222" s="2" t="inlineStr">
        <is>
          <t>Bắt buộc</t>
        </is>
      </c>
      <c r="H222" s="2" t="inlineStr">
        <is>
          <t>Sprint 4</t>
        </is>
      </c>
      <c r="I222" s="2" t="inlineStr">
        <is>
          <t>Lập kế hoạch sớm, kiểm thử song song; Sprint 5 dành cho regression/smoke test.</t>
        </is>
      </c>
      <c r="J222" s="2" t="inlineStr">
        <is>
          <t>PH-04</t>
        </is>
      </c>
      <c r="K222" s="2" t="inlineStr">
        <is>
          <t>Release, Verification &amp; Handover</t>
        </is>
      </c>
      <c r="L222" s="2" t="inlineStr">
        <is>
          <t>CIN-T-036</t>
        </is>
      </c>
      <c r="M222" s="2" t="inlineStr">
        <is>
          <t>Chạy kiểm thử hồi quy trước khi bàn giao</t>
        </is>
      </c>
      <c r="N222" s="2" t="inlineStr">
        <is>
          <t>24120271</t>
        </is>
      </c>
      <c r="O222" s="2" t="inlineStr">
        <is>
          <t>Nguyen Trung Chinh</t>
        </is>
      </c>
      <c r="P222" s="2" t="inlineStr">
        <is>
          <t>CIN-SUB-221</t>
        </is>
      </c>
      <c r="Q222" s="2" t="inlineStr">
        <is>
          <t>Sprint 5</t>
        </is>
      </c>
      <c r="R222" s="2" t="inlineStr">
        <is>
          <t>24120271</t>
        </is>
      </c>
      <c r="S222" s="2" t="inlineStr">
        <is>
          <t>Nguyen Trung Chinh</t>
        </is>
      </c>
      <c r="T222" s="3" t="n">
        <v>46354</v>
      </c>
      <c r="U222" s="3" t="n">
        <v>46368</v>
      </c>
      <c r="V222" s="2" t="n">
        <v>3</v>
      </c>
      <c r="W222" s="2" t="inlineStr">
        <is>
          <t>High</t>
        </is>
      </c>
      <c r="X222" s="2" t="inlineStr">
        <is>
          <t>Testing</t>
        </is>
      </c>
      <c r="Y222" s="2" t="inlineStr">
        <is>
          <t>CIN-T-035, CIN-T-028, CIN-T-029, CIN-T-030</t>
        </is>
      </c>
      <c r="Z222" s="2" t="inlineStr">
        <is>
          <t>Hoàn tất kết quả gốc: Đảm bảo chức năng cũ không bị phá vỡ.</t>
        </is>
      </c>
      <c r="AA222" s="2" t="inlineStr">
        <is>
          <t>Kết quả gốc được kiểm tra và có bằng chứng gắn với CIN-SUB-221; ngoại lệ được ghi rõ.</t>
        </is>
      </c>
      <c r="AB222" s="2" t="inlineStr">
        <is>
          <t>Planned</t>
        </is>
      </c>
      <c r="AC222" s="2" t="inlineStr">
        <is>
          <t>Planned only; no completion evidence was transferred.</t>
        </is>
      </c>
    </row>
    <row r="223">
      <c r="A223" s="2" t="inlineStr">
        <is>
          <t>ORIG-222</t>
        </is>
      </c>
      <c r="B223" s="2" t="n">
        <v>223</v>
      </c>
      <c r="C223" s="2" t="inlineStr">
        <is>
          <t>Docker &amp; Environment</t>
        </is>
      </c>
      <c r="D223" s="2" t="inlineStr">
        <is>
          <t>Môi trường chạy</t>
        </is>
      </c>
      <c r="E223" s="2" t="inlineStr">
        <is>
          <t>Docker PostgreSQL</t>
        </is>
      </c>
      <c r="F223" s="2" t="inlineStr">
        <is>
          <t>PostgreSQL chạy bằng Docker</t>
        </is>
      </c>
      <c r="G223" s="2" t="inlineStr">
        <is>
          <t>Cần thiết để hỗ trợ chức năng chính</t>
        </is>
      </c>
      <c r="H223" s="2" t="inlineStr">
        <is>
          <t>Sprint 2</t>
        </is>
      </c>
      <c r="I223" s="2" t="inlineStr">
        <is>
          <t>Hữu ích để thống nhất môi trường; bắt buộc hay không phụ thuộc rubric.</t>
        </is>
      </c>
      <c r="J223" s="2" t="inlineStr">
        <is>
          <t>PH-02</t>
        </is>
      </c>
      <c r="K223" s="2" t="inlineStr">
        <is>
          <t>Solution Design &amp; Foundations</t>
        </is>
      </c>
      <c r="L223" s="2" t="inlineStr">
        <is>
          <t>CIN-T-037</t>
        </is>
      </c>
      <c r="M223" s="2" t="inlineStr">
        <is>
          <t>Chuẩn hóa môi trường phát triển local</t>
        </is>
      </c>
      <c r="N223" s="2" t="inlineStr">
        <is>
          <t>24120255</t>
        </is>
      </c>
      <c r="O223" s="2" t="inlineStr">
        <is>
          <t>Tran Thien An</t>
        </is>
      </c>
      <c r="P223" s="2" t="inlineStr">
        <is>
          <t>CIN-SUB-222</t>
        </is>
      </c>
      <c r="Q223" s="2" t="inlineStr">
        <is>
          <t>Sprint 2</t>
        </is>
      </c>
      <c r="R223" s="2" t="inlineStr">
        <is>
          <t>24120255</t>
        </is>
      </c>
      <c r="S223" s="2" t="inlineStr">
        <is>
          <t>Tran Thien An</t>
        </is>
      </c>
      <c r="T223" s="3" t="n">
        <v>46312</v>
      </c>
      <c r="U223" s="3" t="n">
        <v>46325</v>
      </c>
      <c r="V223" s="2" t="n">
        <v>3</v>
      </c>
      <c r="W223" s="2" t="inlineStr">
        <is>
          <t>Medium</t>
        </is>
      </c>
      <c r="X223" s="2" t="inlineStr">
        <is>
          <t>Environment / DevEx</t>
        </is>
      </c>
      <c r="Y223" s="2" t="inlineStr">
        <is>
          <t>CIN-T-012, CIN-T-003</t>
        </is>
      </c>
      <c r="Z223" s="2" t="inlineStr">
        <is>
          <t>Hoàn tất kết quả gốc: PostgreSQL chạy bằng Docker.</t>
        </is>
      </c>
      <c r="AA223" s="2" t="inlineStr">
        <is>
          <t>Kết quả gốc được kiểm tra và có bằng chứng gắn với CIN-SUB-222; ngoại lệ được ghi rõ.</t>
        </is>
      </c>
      <c r="AB223" s="2" t="inlineStr">
        <is>
          <t>Planned</t>
        </is>
      </c>
      <c r="AC223" s="2" t="inlineStr">
        <is>
          <t>Planned only; no completion evidence was transferred.</t>
        </is>
      </c>
    </row>
    <row r="224">
      <c r="A224" s="2" t="inlineStr">
        <is>
          <t>ORIG-223</t>
        </is>
      </c>
      <c r="B224" s="2" t="n">
        <v>224</v>
      </c>
      <c r="C224" s="2" t="inlineStr">
        <is>
          <t>Docker &amp; Environment</t>
        </is>
      </c>
      <c r="D224" s="2" t="n"/>
      <c r="E224" s="2" t="inlineStr">
        <is>
          <t>Docker Backend</t>
        </is>
      </c>
      <c r="F224" s="2" t="inlineStr">
        <is>
          <t>Containerize ASP.NET Core API nếu cần</t>
        </is>
      </c>
      <c r="G224" s="2" t="inlineStr">
        <is>
          <t>Mở rộng</t>
        </is>
      </c>
      <c r="H224" s="2" t="inlineStr">
        <is>
          <t>Sprint 2</t>
        </is>
      </c>
      <c r="I224" s="2" t="inlineStr">
        <is>
          <t>Mô tả nguồn có điều kiện; xác nhận yêu cầu PA/rubric trước khi đưa vào baseline.</t>
        </is>
      </c>
      <c r="J224" s="2" t="inlineStr">
        <is>
          <t>PH-02</t>
        </is>
      </c>
      <c r="K224" s="2" t="inlineStr">
        <is>
          <t>Solution Design &amp; Foundations</t>
        </is>
      </c>
      <c r="L224" s="2" t="inlineStr">
        <is>
          <t>CIN-T-037</t>
        </is>
      </c>
      <c r="M224" s="2" t="inlineStr">
        <is>
          <t>Chuẩn hóa môi trường phát triển local</t>
        </is>
      </c>
      <c r="N224" s="2" t="inlineStr">
        <is>
          <t>24120255</t>
        </is>
      </c>
      <c r="O224" s="2" t="inlineStr">
        <is>
          <t>Tran Thien An</t>
        </is>
      </c>
      <c r="P224" s="2" t="inlineStr">
        <is>
          <t>CIN-SUB-223</t>
        </is>
      </c>
      <c r="Q224" s="2" t="inlineStr">
        <is>
          <t>Sprint 2</t>
        </is>
      </c>
      <c r="R224" s="2" t="inlineStr">
        <is>
          <t>24120271</t>
        </is>
      </c>
      <c r="S224" s="2" t="inlineStr">
        <is>
          <t>Nguyen Trung Chinh</t>
        </is>
      </c>
      <c r="T224" s="3" t="n">
        <v>46312</v>
      </c>
      <c r="U224" s="3" t="n">
        <v>46325</v>
      </c>
      <c r="V224" s="2" t="n">
        <v>2</v>
      </c>
      <c r="W224" s="2" t="inlineStr">
        <is>
          <t>Medium</t>
        </is>
      </c>
      <c r="X224" s="2" t="inlineStr">
        <is>
          <t>Environment / DevEx</t>
        </is>
      </c>
      <c r="Y224" s="2" t="inlineStr">
        <is>
          <t>CIN-T-012, CIN-T-003</t>
        </is>
      </c>
      <c r="Z224" s="2" t="inlineStr">
        <is>
          <t>Hoàn tất kết quả gốc: Containerize ASP.NET Core API nếu cần.</t>
        </is>
      </c>
      <c r="AA224" s="2" t="inlineStr">
        <is>
          <t>Kết quả gốc được kiểm tra và có bằng chứng gắn với CIN-SUB-223; ngoại lệ được ghi rõ.</t>
        </is>
      </c>
      <c r="AB224" s="2" t="inlineStr">
        <is>
          <t>Planned</t>
        </is>
      </c>
      <c r="AC224" s="2" t="inlineStr">
        <is>
          <t>Planned only; no completion evidence was transferred.</t>
        </is>
      </c>
    </row>
    <row r="225">
      <c r="A225" s="2" t="inlineStr">
        <is>
          <t>ORIG-224</t>
        </is>
      </c>
      <c r="B225" s="2" t="n">
        <v>225</v>
      </c>
      <c r="C225" s="2" t="inlineStr">
        <is>
          <t>Docker &amp; Environment</t>
        </is>
      </c>
      <c r="D225" s="2" t="n"/>
      <c r="E225" s="2" t="inlineStr">
        <is>
          <t>Docker Frontend</t>
        </is>
      </c>
      <c r="F225" s="2" t="inlineStr">
        <is>
          <t>Containerize Frontend nếu cần</t>
        </is>
      </c>
      <c r="G225" s="2" t="inlineStr">
        <is>
          <t>Mở rộng</t>
        </is>
      </c>
      <c r="H225" s="2" t="inlineStr">
        <is>
          <t>Sprint 2</t>
        </is>
      </c>
      <c r="I225" s="2" t="inlineStr">
        <is>
          <t>Mô tả nguồn có điều kiện; xác nhận yêu cầu PA/rubric trước khi đưa vào baseline.</t>
        </is>
      </c>
      <c r="J225" s="2" t="inlineStr">
        <is>
          <t>PH-02</t>
        </is>
      </c>
      <c r="K225" s="2" t="inlineStr">
        <is>
          <t>Solution Design &amp; Foundations</t>
        </is>
      </c>
      <c r="L225" s="2" t="inlineStr">
        <is>
          <t>CIN-T-037</t>
        </is>
      </c>
      <c r="M225" s="2" t="inlineStr">
        <is>
          <t>Chuẩn hóa môi trường phát triển local</t>
        </is>
      </c>
      <c r="N225" s="2" t="inlineStr">
        <is>
          <t>24120255</t>
        </is>
      </c>
      <c r="O225" s="2" t="inlineStr">
        <is>
          <t>Tran Thien An</t>
        </is>
      </c>
      <c r="P225" s="2" t="inlineStr">
        <is>
          <t>CIN-SUB-224</t>
        </is>
      </c>
      <c r="Q225" s="2" t="inlineStr">
        <is>
          <t>Sprint 2</t>
        </is>
      </c>
      <c r="R225" s="2" t="inlineStr">
        <is>
          <t>24120244</t>
        </is>
      </c>
      <c r="S225" s="2" t="inlineStr">
        <is>
          <t>Phan Van Viet</t>
        </is>
      </c>
      <c r="T225" s="3" t="n">
        <v>46312</v>
      </c>
      <c r="U225" s="3" t="n">
        <v>46325</v>
      </c>
      <c r="V225" s="2" t="n">
        <v>2</v>
      </c>
      <c r="W225" s="2" t="inlineStr">
        <is>
          <t>Medium</t>
        </is>
      </c>
      <c r="X225" s="2" t="inlineStr">
        <is>
          <t>Environment / DevEx</t>
        </is>
      </c>
      <c r="Y225" s="2" t="inlineStr">
        <is>
          <t>CIN-T-012, CIN-T-003</t>
        </is>
      </c>
      <c r="Z225" s="2" t="inlineStr">
        <is>
          <t>Hoàn tất kết quả gốc: Containerize Frontend nếu cần.</t>
        </is>
      </c>
      <c r="AA225" s="2" t="inlineStr">
        <is>
          <t>Kết quả gốc được kiểm tra và có bằng chứng gắn với CIN-SUB-224; ngoại lệ được ghi rõ.</t>
        </is>
      </c>
      <c r="AB225" s="2" t="inlineStr">
        <is>
          <t>Planned</t>
        </is>
      </c>
      <c r="AC225" s="2" t="inlineStr">
        <is>
          <t>Planned only; no completion evidence was transferred.</t>
        </is>
      </c>
    </row>
    <row r="226">
      <c r="A226" s="2" t="inlineStr">
        <is>
          <t>ORIG-225</t>
        </is>
      </c>
      <c r="B226" s="2" t="n">
        <v>226</v>
      </c>
      <c r="C226" s="2" t="inlineStr">
        <is>
          <t>Docker &amp; Environment</t>
        </is>
      </c>
      <c r="D226" s="2" t="n"/>
      <c r="E226" s="2" t="inlineStr">
        <is>
          <t>Docker Compose</t>
        </is>
      </c>
      <c r="F226" s="2" t="inlineStr">
        <is>
          <t>Chạy các service bằng một cấu hình chung</t>
        </is>
      </c>
      <c r="G226" s="2" t="inlineStr">
        <is>
          <t>Cần thiết để hỗ trợ chức năng chính</t>
        </is>
      </c>
      <c r="H226" s="2" t="inlineStr">
        <is>
          <t>Sprint 2</t>
        </is>
      </c>
      <c r="I226" s="2" t="inlineStr">
        <is>
          <t>Hữu ích để thống nhất môi trường; bắt buộc hay không phụ thuộc rubric.</t>
        </is>
      </c>
      <c r="J226" s="2" t="inlineStr">
        <is>
          <t>PH-02</t>
        </is>
      </c>
      <c r="K226" s="2" t="inlineStr">
        <is>
          <t>Solution Design &amp; Foundations</t>
        </is>
      </c>
      <c r="L226" s="2" t="inlineStr">
        <is>
          <t>CIN-T-037</t>
        </is>
      </c>
      <c r="M226" s="2" t="inlineStr">
        <is>
          <t>Chuẩn hóa môi trường phát triển local</t>
        </is>
      </c>
      <c r="N226" s="2" t="inlineStr">
        <is>
          <t>24120255</t>
        </is>
      </c>
      <c r="O226" s="2" t="inlineStr">
        <is>
          <t>Tran Thien An</t>
        </is>
      </c>
      <c r="P226" s="2" t="inlineStr">
        <is>
          <t>CIN-SUB-225</t>
        </is>
      </c>
      <c r="Q226" s="2" t="inlineStr">
        <is>
          <t>Sprint 2</t>
        </is>
      </c>
      <c r="R226" s="2" t="inlineStr">
        <is>
          <t>24120098</t>
        </is>
      </c>
      <c r="S226" s="2" t="inlineStr">
        <is>
          <t>Nguyen Quoc Nam</t>
        </is>
      </c>
      <c r="T226" s="3" t="n">
        <v>46312</v>
      </c>
      <c r="U226" s="3" t="n">
        <v>46325</v>
      </c>
      <c r="V226" s="2" t="n">
        <v>3</v>
      </c>
      <c r="W226" s="2" t="inlineStr">
        <is>
          <t>Medium</t>
        </is>
      </c>
      <c r="X226" s="2" t="inlineStr">
        <is>
          <t>Environment / DevEx</t>
        </is>
      </c>
      <c r="Y226" s="2" t="inlineStr">
        <is>
          <t>CIN-T-012, CIN-T-003</t>
        </is>
      </c>
      <c r="Z226" s="2" t="inlineStr">
        <is>
          <t>Hoàn tất kết quả gốc: Chạy các service bằng một cấu hình chung.</t>
        </is>
      </c>
      <c r="AA226" s="2" t="inlineStr">
        <is>
          <t>Kết quả gốc được kiểm tra và có bằng chứng gắn với CIN-SUB-225; ngoại lệ được ghi rõ.</t>
        </is>
      </c>
      <c r="AB226" s="2" t="inlineStr">
        <is>
          <t>Planned</t>
        </is>
      </c>
      <c r="AC226" s="2" t="inlineStr">
        <is>
          <t>Planned only; no completion evidence was transferred.</t>
        </is>
      </c>
    </row>
    <row r="227">
      <c r="A227" s="2" t="inlineStr">
        <is>
          <t>ORIG-226</t>
        </is>
      </c>
      <c r="B227" s="2" t="n">
        <v>227</v>
      </c>
      <c r="C227" s="2" t="inlineStr">
        <is>
          <t>Docker &amp; Environment</t>
        </is>
      </c>
      <c r="D227" s="2" t="n"/>
      <c r="E227" s="2" t="inlineStr">
        <is>
          <t>Environment Variables</t>
        </is>
      </c>
      <c r="F227" s="2" t="inlineStr">
        <is>
          <t>Development / Production configuration</t>
        </is>
      </c>
      <c r="G227" s="2" t="inlineStr">
        <is>
          <t>Cần thiết để hỗ trợ chức năng chính</t>
        </is>
      </c>
      <c r="H227" s="2" t="inlineStr">
        <is>
          <t>Sprint 2</t>
        </is>
      </c>
      <c r="I227" s="2" t="inlineStr">
        <is>
          <t>Môi trường local sớm giúp thống nhất cách chạy; không đồng nghĩa production.</t>
        </is>
      </c>
      <c r="J227" s="2" t="inlineStr">
        <is>
          <t>PH-02</t>
        </is>
      </c>
      <c r="K227" s="2" t="inlineStr">
        <is>
          <t>Solution Design &amp; Foundations</t>
        </is>
      </c>
      <c r="L227" s="2" t="inlineStr">
        <is>
          <t>CIN-T-037</t>
        </is>
      </c>
      <c r="M227" s="2" t="inlineStr">
        <is>
          <t>Chuẩn hóa môi trường phát triển local</t>
        </is>
      </c>
      <c r="N227" s="2" t="inlineStr">
        <is>
          <t>24120255</t>
        </is>
      </c>
      <c r="O227" s="2" t="inlineStr">
        <is>
          <t>Tran Thien An</t>
        </is>
      </c>
      <c r="P227" s="2" t="inlineStr">
        <is>
          <t>CIN-SUB-226</t>
        </is>
      </c>
      <c r="Q227" s="2" t="inlineStr">
        <is>
          <t>Sprint 2</t>
        </is>
      </c>
      <c r="R227" s="2" t="inlineStr">
        <is>
          <t>24120235</t>
        </is>
      </c>
      <c r="S227" s="2" t="inlineStr">
        <is>
          <t>Huynh Thanh Tu</t>
        </is>
      </c>
      <c r="T227" s="3" t="n">
        <v>46312</v>
      </c>
      <c r="U227" s="3" t="n">
        <v>46325</v>
      </c>
      <c r="V227" s="2" t="n">
        <v>1</v>
      </c>
      <c r="W227" s="2" t="inlineStr">
        <is>
          <t>Medium</t>
        </is>
      </c>
      <c r="X227" s="2" t="inlineStr">
        <is>
          <t>Environment / DevEx</t>
        </is>
      </c>
      <c r="Y227" s="2" t="inlineStr">
        <is>
          <t>CIN-T-012, CIN-T-003</t>
        </is>
      </c>
      <c r="Z227" s="2" t="inlineStr">
        <is>
          <t>Hoàn tất kết quả gốc: Development / Production configuration.</t>
        </is>
      </c>
      <c r="AA227" s="2" t="inlineStr">
        <is>
          <t>Kết quả gốc được kiểm tra và có bằng chứng gắn với CIN-SUB-226; ngoại lệ được ghi rõ.</t>
        </is>
      </c>
      <c r="AB227" s="2" t="inlineStr">
        <is>
          <t>Planned</t>
        </is>
      </c>
      <c r="AC227" s="2" t="inlineStr">
        <is>
          <t>Planned only; no completion evidence was transferred.</t>
        </is>
      </c>
    </row>
    <row r="228">
      <c r="A228" s="2" t="inlineStr">
        <is>
          <t>ORIG-227</t>
        </is>
      </c>
      <c r="B228" s="2" t="n">
        <v>228</v>
      </c>
      <c r="C228" s="2" t="inlineStr">
        <is>
          <t>Docker &amp; Environment</t>
        </is>
      </c>
      <c r="D228" s="2" t="n"/>
      <c r="E228" s="2" t="inlineStr">
        <is>
          <t>Local Development Setup</t>
        </is>
      </c>
      <c r="F228" s="2" t="inlineStr">
        <is>
          <t>Một lệnh có thể khởi động môi trường development</t>
        </is>
      </c>
      <c r="G228" s="2" t="inlineStr">
        <is>
          <t>Cần thiết để hỗ trợ chức năng chính</t>
        </is>
      </c>
      <c r="H228" s="2" t="inlineStr">
        <is>
          <t>Sprint 2</t>
        </is>
      </c>
      <c r="I228" s="2" t="inlineStr">
        <is>
          <t>Môi trường local sớm giúp thống nhất cách chạy; không đồng nghĩa production.</t>
        </is>
      </c>
      <c r="J228" s="2" t="inlineStr">
        <is>
          <t>PH-02</t>
        </is>
      </c>
      <c r="K228" s="2" t="inlineStr">
        <is>
          <t>Solution Design &amp; Foundations</t>
        </is>
      </c>
      <c r="L228" s="2" t="inlineStr">
        <is>
          <t>CIN-T-037</t>
        </is>
      </c>
      <c r="M228" s="2" t="inlineStr">
        <is>
          <t>Chuẩn hóa môi trường phát triển local</t>
        </is>
      </c>
      <c r="N228" s="2" t="inlineStr">
        <is>
          <t>24120255</t>
        </is>
      </c>
      <c r="O228" s="2" t="inlineStr">
        <is>
          <t>Tran Thien An</t>
        </is>
      </c>
      <c r="P228" s="2" t="inlineStr">
        <is>
          <t>CIN-SUB-227</t>
        </is>
      </c>
      <c r="Q228" s="2" t="inlineStr">
        <is>
          <t>Sprint 2</t>
        </is>
      </c>
      <c r="R228" s="2" t="inlineStr">
        <is>
          <t>24120255</t>
        </is>
      </c>
      <c r="S228" s="2" t="inlineStr">
        <is>
          <t>Tran Thien An</t>
        </is>
      </c>
      <c r="T228" s="3" t="n">
        <v>46312</v>
      </c>
      <c r="U228" s="3" t="n">
        <v>46325</v>
      </c>
      <c r="V228" s="2" t="n">
        <v>2</v>
      </c>
      <c r="W228" s="2" t="inlineStr">
        <is>
          <t>Medium</t>
        </is>
      </c>
      <c r="X228" s="2" t="inlineStr">
        <is>
          <t>Environment / DevEx</t>
        </is>
      </c>
      <c r="Y228" s="2" t="inlineStr">
        <is>
          <t>CIN-T-012, CIN-T-003</t>
        </is>
      </c>
      <c r="Z228" s="2" t="inlineStr">
        <is>
          <t>Hoàn tất kết quả gốc: Một lệnh có thể khởi động môi trường development.</t>
        </is>
      </c>
      <c r="AA228" s="2" t="inlineStr">
        <is>
          <t>Kết quả gốc được kiểm tra và có bằng chứng gắn với CIN-SUB-227; ngoại lệ được ghi rõ.</t>
        </is>
      </c>
      <c r="AB228" s="2" t="inlineStr">
        <is>
          <t>Planned</t>
        </is>
      </c>
      <c r="AC228" s="2" t="inlineStr">
        <is>
          <t>Planned only; no completion evidence was transferred.</t>
        </is>
      </c>
    </row>
    <row r="229">
      <c r="A229" s="2" t="inlineStr">
        <is>
          <t>ORIG-228</t>
        </is>
      </c>
      <c r="B229" s="2" t="n">
        <v>229</v>
      </c>
      <c r="C229" s="2" t="inlineStr">
        <is>
          <t>CI/CD</t>
        </is>
      </c>
      <c r="D229" s="2" t="inlineStr">
        <is>
          <t>Build/test/deploy pipeline</t>
        </is>
      </c>
      <c r="E229" s="2" t="inlineStr">
        <is>
          <t>Thiết lập CI</t>
        </is>
      </c>
      <c r="F229" s="2" t="inlineStr">
        <is>
          <t>GitHub Actions / CI pipeline</t>
        </is>
      </c>
      <c r="G229" s="2" t="inlineStr">
        <is>
          <t>Cần thiết để hỗ trợ chức năng chính</t>
        </is>
      </c>
      <c r="H229" s="2" t="inlineStr">
        <is>
          <t>Sprint 5</t>
        </is>
      </c>
      <c r="I229" s="2" t="inlineStr">
        <is>
          <t>Pipeline build/test tối thiểu nếu được yêu cầu hoặc còn thời gian.</t>
        </is>
      </c>
      <c r="J229" s="2" t="inlineStr">
        <is>
          <t>PH-04</t>
        </is>
      </c>
      <c r="K229" s="2" t="inlineStr">
        <is>
          <t>Release, Verification &amp; Handover</t>
        </is>
      </c>
      <c r="L229" s="2" t="inlineStr">
        <is>
          <t>CIN-T-038</t>
        </is>
      </c>
      <c r="M229" s="2" t="inlineStr">
        <is>
          <t>Tự động hóa build, test và kiểm tra chất lượng</t>
        </is>
      </c>
      <c r="N229" s="2" t="inlineStr">
        <is>
          <t>24120235</t>
        </is>
      </c>
      <c r="O229" s="2" t="inlineStr">
        <is>
          <t>Huynh Thanh Tu</t>
        </is>
      </c>
      <c r="P229" s="2" t="inlineStr">
        <is>
          <t>CIN-SUB-228</t>
        </is>
      </c>
      <c r="Q229" s="2" t="inlineStr">
        <is>
          <t>Sprint 5</t>
        </is>
      </c>
      <c r="R229" s="2" t="inlineStr">
        <is>
          <t>24120235</t>
        </is>
      </c>
      <c r="S229" s="2" t="inlineStr">
        <is>
          <t>Huynh Thanh Tu</t>
        </is>
      </c>
      <c r="T229" s="3" t="n">
        <v>46354</v>
      </c>
      <c r="U229" s="3" t="n">
        <v>46368</v>
      </c>
      <c r="V229" s="2" t="n">
        <v>2</v>
      </c>
      <c r="W229" s="2" t="inlineStr">
        <is>
          <t>Medium</t>
        </is>
      </c>
      <c r="X229" s="2" t="inlineStr">
        <is>
          <t>DevOps</t>
        </is>
      </c>
      <c r="Y229" s="2" t="inlineStr">
        <is>
          <t>CIN-T-035, CIN-T-012</t>
        </is>
      </c>
      <c r="Z229" s="2" t="inlineStr">
        <is>
          <t>Hoàn tất kết quả gốc: GitHub Actions / CI pipeline.</t>
        </is>
      </c>
      <c r="AA229" s="2" t="inlineStr">
        <is>
          <t>Kết quả gốc được kiểm tra và có bằng chứng gắn với CIN-SUB-228; ngoại lệ được ghi rõ.</t>
        </is>
      </c>
      <c r="AB229" s="2" t="inlineStr">
        <is>
          <t>Planned</t>
        </is>
      </c>
      <c r="AC229" s="2" t="inlineStr">
        <is>
          <t>Planned only; no completion evidence was transferred.</t>
        </is>
      </c>
    </row>
    <row r="230">
      <c r="A230" s="2" t="inlineStr">
        <is>
          <t>ORIG-229</t>
        </is>
      </c>
      <c r="B230" s="2" t="n">
        <v>230</v>
      </c>
      <c r="C230" s="2" t="inlineStr">
        <is>
          <t>CI/CD</t>
        </is>
      </c>
      <c r="D230" s="2" t="n"/>
      <c r="E230" s="2" t="inlineStr">
        <is>
          <t>Backend Build</t>
        </is>
      </c>
      <c r="F230" s="2" t="inlineStr">
        <is>
          <t>Tự động build Backend</t>
        </is>
      </c>
      <c r="G230" s="2" t="inlineStr">
        <is>
          <t>Cần thiết để hỗ trợ chức năng chính</t>
        </is>
      </c>
      <c r="H230" s="2" t="inlineStr">
        <is>
          <t>Sprint 5</t>
        </is>
      </c>
      <c r="I230" s="2" t="inlineStr">
        <is>
          <t>Pipeline build/test tối thiểu nếu được yêu cầu hoặc còn thời gian.</t>
        </is>
      </c>
      <c r="J230" s="2" t="inlineStr">
        <is>
          <t>PH-04</t>
        </is>
      </c>
      <c r="K230" s="2" t="inlineStr">
        <is>
          <t>Release, Verification &amp; Handover</t>
        </is>
      </c>
      <c r="L230" s="2" t="inlineStr">
        <is>
          <t>CIN-T-038</t>
        </is>
      </c>
      <c r="M230" s="2" t="inlineStr">
        <is>
          <t>Tự động hóa build, test và kiểm tra chất lượng</t>
        </is>
      </c>
      <c r="N230" s="2" t="inlineStr">
        <is>
          <t>24120235</t>
        </is>
      </c>
      <c r="O230" s="2" t="inlineStr">
        <is>
          <t>Huynh Thanh Tu</t>
        </is>
      </c>
      <c r="P230" s="2" t="inlineStr">
        <is>
          <t>CIN-SUB-229</t>
        </is>
      </c>
      <c r="Q230" s="2" t="inlineStr">
        <is>
          <t>Sprint 5</t>
        </is>
      </c>
      <c r="R230" s="2" t="inlineStr">
        <is>
          <t>24120098</t>
        </is>
      </c>
      <c r="S230" s="2" t="inlineStr">
        <is>
          <t>Nguyen Quoc Nam</t>
        </is>
      </c>
      <c r="T230" s="3" t="n">
        <v>46354</v>
      </c>
      <c r="U230" s="3" t="n">
        <v>46368</v>
      </c>
      <c r="V230" s="2" t="n">
        <v>2</v>
      </c>
      <c r="W230" s="2" t="inlineStr">
        <is>
          <t>Medium</t>
        </is>
      </c>
      <c r="X230" s="2" t="inlineStr">
        <is>
          <t>DevOps</t>
        </is>
      </c>
      <c r="Y230" s="2" t="inlineStr">
        <is>
          <t>CIN-T-035, CIN-T-012</t>
        </is>
      </c>
      <c r="Z230" s="2" t="inlineStr">
        <is>
          <t>Hoàn tất kết quả gốc: Tự động build Backend.</t>
        </is>
      </c>
      <c r="AA230" s="2" t="inlineStr">
        <is>
          <t>Kết quả gốc được kiểm tra và có bằng chứng gắn với CIN-SUB-229; ngoại lệ được ghi rõ.</t>
        </is>
      </c>
      <c r="AB230" s="2" t="inlineStr">
        <is>
          <t>Planned</t>
        </is>
      </c>
      <c r="AC230" s="2" t="inlineStr">
        <is>
          <t>Planned only; no completion evidence was transferred.</t>
        </is>
      </c>
    </row>
    <row r="231">
      <c r="A231" s="2" t="inlineStr">
        <is>
          <t>ORIG-230</t>
        </is>
      </c>
      <c r="B231" s="2" t="n">
        <v>231</v>
      </c>
      <c r="C231" s="2" t="inlineStr">
        <is>
          <t>CI/CD</t>
        </is>
      </c>
      <c r="D231" s="2" t="n"/>
      <c r="E231" s="2" t="inlineStr">
        <is>
          <t>Frontend Build</t>
        </is>
      </c>
      <c r="F231" s="2" t="inlineStr">
        <is>
          <t>Tự động build Frontend</t>
        </is>
      </c>
      <c r="G231" s="2" t="inlineStr">
        <is>
          <t>Cần thiết để hỗ trợ chức năng chính</t>
        </is>
      </c>
      <c r="H231" s="2" t="inlineStr">
        <is>
          <t>Sprint 5</t>
        </is>
      </c>
      <c r="I231" s="2" t="inlineStr">
        <is>
          <t>Pipeline build/test tối thiểu nếu được yêu cầu hoặc còn thời gian.</t>
        </is>
      </c>
      <c r="J231" s="2" t="inlineStr">
        <is>
          <t>PH-04</t>
        </is>
      </c>
      <c r="K231" s="2" t="inlineStr">
        <is>
          <t>Release, Verification &amp; Handover</t>
        </is>
      </c>
      <c r="L231" s="2" t="inlineStr">
        <is>
          <t>CIN-T-038</t>
        </is>
      </c>
      <c r="M231" s="2" t="inlineStr">
        <is>
          <t>Tự động hóa build, test và kiểm tra chất lượng</t>
        </is>
      </c>
      <c r="N231" s="2" t="inlineStr">
        <is>
          <t>24120235</t>
        </is>
      </c>
      <c r="O231" s="2" t="inlineStr">
        <is>
          <t>Huynh Thanh Tu</t>
        </is>
      </c>
      <c r="P231" s="2" t="inlineStr">
        <is>
          <t>CIN-SUB-230</t>
        </is>
      </c>
      <c r="Q231" s="2" t="inlineStr">
        <is>
          <t>Sprint 5</t>
        </is>
      </c>
      <c r="R231" s="2" t="inlineStr">
        <is>
          <t>24120244</t>
        </is>
      </c>
      <c r="S231" s="2" t="inlineStr">
        <is>
          <t>Phan Van Viet</t>
        </is>
      </c>
      <c r="T231" s="3" t="n">
        <v>46354</v>
      </c>
      <c r="U231" s="3" t="n">
        <v>46368</v>
      </c>
      <c r="V231" s="2" t="n">
        <v>2</v>
      </c>
      <c r="W231" s="2" t="inlineStr">
        <is>
          <t>Medium</t>
        </is>
      </c>
      <c r="X231" s="2" t="inlineStr">
        <is>
          <t>DevOps</t>
        </is>
      </c>
      <c r="Y231" s="2" t="inlineStr">
        <is>
          <t>CIN-T-035, CIN-T-012</t>
        </is>
      </c>
      <c r="Z231" s="2" t="inlineStr">
        <is>
          <t>Hoàn tất kết quả gốc: Tự động build Frontend.</t>
        </is>
      </c>
      <c r="AA231" s="2" t="inlineStr">
        <is>
          <t>Kết quả gốc được kiểm tra và có bằng chứng gắn với CIN-SUB-230; ngoại lệ được ghi rõ.</t>
        </is>
      </c>
      <c r="AB231" s="2" t="inlineStr">
        <is>
          <t>Planned</t>
        </is>
      </c>
      <c r="AC231" s="2" t="inlineStr">
        <is>
          <t>Planned only; no completion evidence was transferred.</t>
        </is>
      </c>
    </row>
    <row r="232">
      <c r="A232" s="2" t="inlineStr">
        <is>
          <t>ORIG-231</t>
        </is>
      </c>
      <c r="B232" s="2" t="n">
        <v>232</v>
      </c>
      <c r="C232" s="2" t="inlineStr">
        <is>
          <t>CI/CD</t>
        </is>
      </c>
      <c r="D232" s="2" t="n"/>
      <c r="E232" s="2" t="inlineStr">
        <is>
          <t>Automated Test</t>
        </is>
      </c>
      <c r="F232" s="2" t="inlineStr">
        <is>
          <t>Chạy test tự động</t>
        </is>
      </c>
      <c r="G232" s="2" t="inlineStr">
        <is>
          <t>Cần thiết để hỗ trợ chức năng chính</t>
        </is>
      </c>
      <c r="H232" s="2" t="inlineStr">
        <is>
          <t>Sprint 5</t>
        </is>
      </c>
      <c r="I232" s="2" t="inlineStr">
        <is>
          <t>Pipeline build/test tối thiểu nếu được yêu cầu hoặc còn thời gian.</t>
        </is>
      </c>
      <c r="J232" s="2" t="inlineStr">
        <is>
          <t>PH-04</t>
        </is>
      </c>
      <c r="K232" s="2" t="inlineStr">
        <is>
          <t>Release, Verification &amp; Handover</t>
        </is>
      </c>
      <c r="L232" s="2" t="inlineStr">
        <is>
          <t>CIN-T-038</t>
        </is>
      </c>
      <c r="M232" s="2" t="inlineStr">
        <is>
          <t>Tự động hóa build, test và kiểm tra chất lượng</t>
        </is>
      </c>
      <c r="N232" s="2" t="inlineStr">
        <is>
          <t>24120235</t>
        </is>
      </c>
      <c r="O232" s="2" t="inlineStr">
        <is>
          <t>Huynh Thanh Tu</t>
        </is>
      </c>
      <c r="P232" s="2" t="inlineStr">
        <is>
          <t>CIN-SUB-231</t>
        </is>
      </c>
      <c r="Q232" s="2" t="inlineStr">
        <is>
          <t>Sprint 5</t>
        </is>
      </c>
      <c r="R232" s="2" t="inlineStr">
        <is>
          <t>24120235</t>
        </is>
      </c>
      <c r="S232" s="2" t="inlineStr">
        <is>
          <t>Huynh Thanh Tu</t>
        </is>
      </c>
      <c r="T232" s="3" t="n">
        <v>46354</v>
      </c>
      <c r="U232" s="3" t="n">
        <v>46368</v>
      </c>
      <c r="V232" s="2" t="n">
        <v>3</v>
      </c>
      <c r="W232" s="2" t="inlineStr">
        <is>
          <t>Medium</t>
        </is>
      </c>
      <c r="X232" s="2" t="inlineStr">
        <is>
          <t>DevOps</t>
        </is>
      </c>
      <c r="Y232" s="2" t="inlineStr">
        <is>
          <t>CIN-T-035, CIN-T-012</t>
        </is>
      </c>
      <c r="Z232" s="2" t="inlineStr">
        <is>
          <t>Hoàn tất kết quả gốc: Chạy test tự động.</t>
        </is>
      </c>
      <c r="AA232" s="2" t="inlineStr">
        <is>
          <t>Kết quả gốc được kiểm tra và có bằng chứng gắn với CIN-SUB-231; ngoại lệ được ghi rõ.</t>
        </is>
      </c>
      <c r="AB232" s="2" t="inlineStr">
        <is>
          <t>Planned</t>
        </is>
      </c>
      <c r="AC232" s="2" t="inlineStr">
        <is>
          <t>Planned only; no completion evidence was transferred.</t>
        </is>
      </c>
    </row>
    <row r="233">
      <c r="A233" s="2" t="inlineStr">
        <is>
          <t>ORIG-232</t>
        </is>
      </c>
      <c r="B233" s="2" t="n">
        <v>233</v>
      </c>
      <c r="C233" s="2" t="inlineStr">
        <is>
          <t>CI/CD</t>
        </is>
      </c>
      <c r="D233" s="2" t="n"/>
      <c r="E233" s="2" t="inlineStr">
        <is>
          <t>Code Quality Check</t>
        </is>
      </c>
      <c r="F233" s="2" t="inlineStr">
        <is>
          <t>Kiểm tra format / lint / warning nếu áp dụng</t>
        </is>
      </c>
      <c r="G233" s="2" t="inlineStr">
        <is>
          <t>Cần thiết để hỗ trợ chức năng chính</t>
        </is>
      </c>
      <c r="H233" s="2" t="inlineStr">
        <is>
          <t>Sprint 5</t>
        </is>
      </c>
      <c r="I233" s="2" t="inlineStr">
        <is>
          <t>Pipeline build/test tối thiểu nếu được yêu cầu hoặc còn thời gian.</t>
        </is>
      </c>
      <c r="J233" s="2" t="inlineStr">
        <is>
          <t>PH-04</t>
        </is>
      </c>
      <c r="K233" s="2" t="inlineStr">
        <is>
          <t>Release, Verification &amp; Handover</t>
        </is>
      </c>
      <c r="L233" s="2" t="inlineStr">
        <is>
          <t>CIN-T-038</t>
        </is>
      </c>
      <c r="M233" s="2" t="inlineStr">
        <is>
          <t>Tự động hóa build, test và kiểm tra chất lượng</t>
        </is>
      </c>
      <c r="N233" s="2" t="inlineStr">
        <is>
          <t>24120235</t>
        </is>
      </c>
      <c r="O233" s="2" t="inlineStr">
        <is>
          <t>Huynh Thanh Tu</t>
        </is>
      </c>
      <c r="P233" s="2" t="inlineStr">
        <is>
          <t>CIN-SUB-232</t>
        </is>
      </c>
      <c r="Q233" s="2" t="inlineStr">
        <is>
          <t>Sprint 5</t>
        </is>
      </c>
      <c r="R233" s="2" t="inlineStr">
        <is>
          <t>24120255</t>
        </is>
      </c>
      <c r="S233" s="2" t="inlineStr">
        <is>
          <t>Tran Thien An</t>
        </is>
      </c>
      <c r="T233" s="3" t="n">
        <v>46354</v>
      </c>
      <c r="U233" s="3" t="n">
        <v>46368</v>
      </c>
      <c r="V233" s="2" t="n">
        <v>2</v>
      </c>
      <c r="W233" s="2" t="inlineStr">
        <is>
          <t>Medium</t>
        </is>
      </c>
      <c r="X233" s="2" t="inlineStr">
        <is>
          <t>DevOps</t>
        </is>
      </c>
      <c r="Y233" s="2" t="inlineStr">
        <is>
          <t>CIN-T-035, CIN-T-012</t>
        </is>
      </c>
      <c r="Z233" s="2" t="inlineStr">
        <is>
          <t>Hoàn tất kết quả gốc: Kiểm tra format / lint / warning nếu áp dụng.</t>
        </is>
      </c>
      <c r="AA233" s="2" t="inlineStr">
        <is>
          <t>Kết quả gốc được kiểm tra và có bằng chứng gắn với CIN-SUB-232; ngoại lệ được ghi rõ.</t>
        </is>
      </c>
      <c r="AB233" s="2" t="inlineStr">
        <is>
          <t>Planned</t>
        </is>
      </c>
      <c r="AC233" s="2" t="inlineStr">
        <is>
          <t>Planned only; no completion evidence was transferred.</t>
        </is>
      </c>
    </row>
    <row r="234">
      <c r="A234" s="2" t="inlineStr">
        <is>
          <t>ORIG-233</t>
        </is>
      </c>
      <c r="B234" s="2" t="n">
        <v>234</v>
      </c>
      <c r="C234" s="2" t="inlineStr">
        <is>
          <t>CI/CD</t>
        </is>
      </c>
      <c r="D234" s="2" t="n"/>
      <c r="E234" s="2" t="inlineStr">
        <is>
          <t>CI Status</t>
        </is>
      </c>
      <c r="F234" s="2" t="inlineStr">
        <is>
          <t>Chỉ merge khi build/test đạt</t>
        </is>
      </c>
      <c r="G234" s="2" t="inlineStr">
        <is>
          <t>Cần thiết để hỗ trợ chức năng chính</t>
        </is>
      </c>
      <c r="H234" s="2" t="inlineStr">
        <is>
          <t>Sprint 5</t>
        </is>
      </c>
      <c r="I234" s="2" t="inlineStr">
        <is>
          <t>Pipeline build/test tối thiểu nếu được yêu cầu hoặc còn thời gian.</t>
        </is>
      </c>
      <c r="J234" s="2" t="inlineStr">
        <is>
          <t>PH-04</t>
        </is>
      </c>
      <c r="K234" s="2" t="inlineStr">
        <is>
          <t>Release, Verification &amp; Handover</t>
        </is>
      </c>
      <c r="L234" s="2" t="inlineStr">
        <is>
          <t>CIN-T-038</t>
        </is>
      </c>
      <c r="M234" s="2" t="inlineStr">
        <is>
          <t>Tự động hóa build, test và kiểm tra chất lượng</t>
        </is>
      </c>
      <c r="N234" s="2" t="inlineStr">
        <is>
          <t>24120235</t>
        </is>
      </c>
      <c r="O234" s="2" t="inlineStr">
        <is>
          <t>Huynh Thanh Tu</t>
        </is>
      </c>
      <c r="P234" s="2" t="inlineStr">
        <is>
          <t>CIN-SUB-233</t>
        </is>
      </c>
      <c r="Q234" s="2" t="inlineStr">
        <is>
          <t>Sprint 5</t>
        </is>
      </c>
      <c r="R234" s="2" t="inlineStr">
        <is>
          <t>24120098</t>
        </is>
      </c>
      <c r="S234" s="2" t="inlineStr">
        <is>
          <t>Nguyen Quoc Nam</t>
        </is>
      </c>
      <c r="T234" s="3" t="n">
        <v>46354</v>
      </c>
      <c r="U234" s="3" t="n">
        <v>46368</v>
      </c>
      <c r="V234" s="2" t="n">
        <v>3</v>
      </c>
      <c r="W234" s="2" t="inlineStr">
        <is>
          <t>Medium</t>
        </is>
      </c>
      <c r="X234" s="2" t="inlineStr">
        <is>
          <t>DevOps</t>
        </is>
      </c>
      <c r="Y234" s="2" t="inlineStr">
        <is>
          <t>CIN-T-035, CIN-T-012</t>
        </is>
      </c>
      <c r="Z234" s="2" t="inlineStr">
        <is>
          <t>Hoàn tất kết quả gốc: Chỉ merge khi build/test đạt.</t>
        </is>
      </c>
      <c r="AA234" s="2" t="inlineStr">
        <is>
          <t>Kết quả gốc được kiểm tra và có bằng chứng gắn với CIN-SUB-233; ngoại lệ được ghi rõ.</t>
        </is>
      </c>
      <c r="AB234" s="2" t="inlineStr">
        <is>
          <t>Planned</t>
        </is>
      </c>
      <c r="AC234" s="2" t="inlineStr">
        <is>
          <t>Planned only; no completion evidence was transferred.</t>
        </is>
      </c>
    </row>
    <row r="235">
      <c r="A235" s="2" t="inlineStr">
        <is>
          <t>ORIG-234</t>
        </is>
      </c>
      <c r="B235" s="2" t="n">
        <v>235</v>
      </c>
      <c r="C235" s="2" t="inlineStr">
        <is>
          <t>CI/CD</t>
        </is>
      </c>
      <c r="D235" s="2" t="n"/>
      <c r="E235" s="2" t="inlineStr">
        <is>
          <t>CD Pipeline</t>
        </is>
      </c>
      <c r="F235" s="2" t="inlineStr">
        <is>
          <t>Tự động hoặc bán tự động deploy</t>
        </is>
      </c>
      <c r="G235" s="2" t="inlineStr">
        <is>
          <t>Cần thiết để hỗ trợ chức năng chính</t>
        </is>
      </c>
      <c r="H235" s="2" t="inlineStr">
        <is>
          <t>Sprint 5</t>
        </is>
      </c>
      <c r="I235" s="2" t="inlineStr">
        <is>
          <t>Pipeline build/test tối thiểu nếu được yêu cầu hoặc còn thời gian.</t>
        </is>
      </c>
      <c r="J235" s="2" t="inlineStr">
        <is>
          <t>PH-04</t>
        </is>
      </c>
      <c r="K235" s="2" t="inlineStr">
        <is>
          <t>Release, Verification &amp; Handover</t>
        </is>
      </c>
      <c r="L235" s="2" t="inlineStr">
        <is>
          <t>CIN-T-038</t>
        </is>
      </c>
      <c r="M235" s="2" t="inlineStr">
        <is>
          <t>Tự động hóa build, test và kiểm tra chất lượng</t>
        </is>
      </c>
      <c r="N235" s="2" t="inlineStr">
        <is>
          <t>24120235</t>
        </is>
      </c>
      <c r="O235" s="2" t="inlineStr">
        <is>
          <t>Huynh Thanh Tu</t>
        </is>
      </c>
      <c r="P235" s="2" t="inlineStr">
        <is>
          <t>CIN-SUB-234</t>
        </is>
      </c>
      <c r="Q235" s="2" t="inlineStr">
        <is>
          <t>Sprint 5</t>
        </is>
      </c>
      <c r="R235" s="2" t="inlineStr">
        <is>
          <t>24120271</t>
        </is>
      </c>
      <c r="S235" s="2" t="inlineStr">
        <is>
          <t>Nguyen Trung Chinh</t>
        </is>
      </c>
      <c r="T235" s="3" t="n">
        <v>46354</v>
      </c>
      <c r="U235" s="3" t="n">
        <v>46368</v>
      </c>
      <c r="V235" s="2" t="n">
        <v>3</v>
      </c>
      <c r="W235" s="2" t="inlineStr">
        <is>
          <t>Medium</t>
        </is>
      </c>
      <c r="X235" s="2" t="inlineStr">
        <is>
          <t>DevOps</t>
        </is>
      </c>
      <c r="Y235" s="2" t="inlineStr">
        <is>
          <t>CIN-T-035, CIN-T-012</t>
        </is>
      </c>
      <c r="Z235" s="2" t="inlineStr">
        <is>
          <t>Hoàn tất kết quả gốc: Tự động hoặc bán tự động deploy.</t>
        </is>
      </c>
      <c r="AA235" s="2" t="inlineStr">
        <is>
          <t>Kết quả gốc được kiểm tra và có bằng chứng gắn với CIN-SUB-234; ngoại lệ được ghi rõ.</t>
        </is>
      </c>
      <c r="AB235" s="2" t="inlineStr">
        <is>
          <t>Planned</t>
        </is>
      </c>
      <c r="AC235" s="2" t="inlineStr">
        <is>
          <t>Planned only; no completion evidence was transferred.</t>
        </is>
      </c>
    </row>
    <row r="236">
      <c r="A236" s="2" t="inlineStr">
        <is>
          <t>ORIG-235</t>
        </is>
      </c>
      <c r="B236" s="2" t="n">
        <v>236</v>
      </c>
      <c r="C236" s="2" t="inlineStr">
        <is>
          <t>Deployment</t>
        </is>
      </c>
      <c r="D236" s="2" t="inlineStr">
        <is>
          <t>Đưa hệ thống lên production</t>
        </is>
      </c>
      <c r="E236" s="2" t="inlineStr">
        <is>
          <t>Chuẩn bị Production Server</t>
        </is>
      </c>
      <c r="F236" s="2" t="inlineStr">
        <is>
          <t>VPS / Cloud / Platform phù hợp</t>
        </is>
      </c>
      <c r="G236" s="2" t="inlineStr">
        <is>
          <t>Mở rộng</t>
        </is>
      </c>
      <c r="H236" s="2" t="inlineStr">
        <is>
          <t>Sprint 5</t>
        </is>
      </c>
      <c r="I236" s="2" t="inlineStr">
        <is>
          <t>Hạng mục nâng cao/phụ thuộc môi trường; xác nhận rubric và khả năng trước khi cam kết.</t>
        </is>
      </c>
      <c r="J236" s="2" t="inlineStr">
        <is>
          <t>PH-04</t>
        </is>
      </c>
      <c r="K236" s="2" t="inlineStr">
        <is>
          <t>Release, Verification &amp; Handover</t>
        </is>
      </c>
      <c r="L236" s="2" t="inlineStr">
        <is>
          <t>CIN-T-039</t>
        </is>
      </c>
      <c r="M236" s="2" t="inlineStr">
        <is>
          <t>Chuẩn bị và xác minh môi trường triển khai demo</t>
        </is>
      </c>
      <c r="N236" s="2" t="inlineStr">
        <is>
          <t>24120244</t>
        </is>
      </c>
      <c r="O236" s="2" t="inlineStr">
        <is>
          <t>Phan Van Viet</t>
        </is>
      </c>
      <c r="P236" s="2" t="inlineStr">
        <is>
          <t>CIN-SUB-235</t>
        </is>
      </c>
      <c r="Q236" s="2" t="inlineStr">
        <is>
          <t>Sprint 5</t>
        </is>
      </c>
      <c r="R236" s="2" t="inlineStr">
        <is>
          <t>24120244</t>
        </is>
      </c>
      <c r="S236" s="2" t="inlineStr">
        <is>
          <t>Phan Van Viet</t>
        </is>
      </c>
      <c r="T236" s="3" t="n">
        <v>46354</v>
      </c>
      <c r="U236" s="3" t="n">
        <v>46368</v>
      </c>
      <c r="V236" s="2" t="n">
        <v>2</v>
      </c>
      <c r="W236" s="2" t="inlineStr">
        <is>
          <t>Medium</t>
        </is>
      </c>
      <c r="X236" s="2" t="inlineStr">
        <is>
          <t>Deployment</t>
        </is>
      </c>
      <c r="Y236" s="2" t="inlineStr">
        <is>
          <t>CIN-T-037, CIN-T-038, CIN-T-027</t>
        </is>
      </c>
      <c r="Z236" s="2" t="inlineStr">
        <is>
          <t>Hoàn tất kết quả gốc: VPS / Cloud / Platform phù hợp.</t>
        </is>
      </c>
      <c r="AA236" s="2" t="inlineStr">
        <is>
          <t>Kết quả gốc được kiểm tra và có bằng chứng gắn với CIN-SUB-235; ngoại lệ được ghi rõ.</t>
        </is>
      </c>
      <c r="AB236" s="2" t="inlineStr">
        <is>
          <t>Planned</t>
        </is>
      </c>
      <c r="AC236" s="2" t="inlineStr">
        <is>
          <t>Planned only; no completion evidence was transferred.</t>
        </is>
      </c>
    </row>
    <row r="237">
      <c r="A237" s="2" t="inlineStr">
        <is>
          <t>ORIG-236</t>
        </is>
      </c>
      <c r="B237" s="2" t="n">
        <v>237</v>
      </c>
      <c r="C237" s="2" t="inlineStr">
        <is>
          <t>Deployment</t>
        </is>
      </c>
      <c r="D237" s="2" t="n"/>
      <c r="E237" s="2" t="inlineStr">
        <is>
          <t>Deploy Backend</t>
        </is>
      </c>
      <c r="F237" s="2" t="inlineStr">
        <is>
          <t>Deploy ASP.NET Core API</t>
        </is>
      </c>
      <c r="G237" s="2" t="inlineStr">
        <is>
          <t>Cần thiết để hỗ trợ chức năng chính</t>
        </is>
      </c>
      <c r="H237" s="2" t="inlineStr">
        <is>
          <t>Sprint 5</t>
        </is>
      </c>
      <c r="I237" s="2" t="inlineStr">
        <is>
          <t>Deploy demo theo rubric; VPS/domain/production hoàn chỉnh cần xác minh.</t>
        </is>
      </c>
      <c r="J237" s="2" t="inlineStr">
        <is>
          <t>PH-04</t>
        </is>
      </c>
      <c r="K237" s="2" t="inlineStr">
        <is>
          <t>Release, Verification &amp; Handover</t>
        </is>
      </c>
      <c r="L237" s="2" t="inlineStr">
        <is>
          <t>CIN-T-039</t>
        </is>
      </c>
      <c r="M237" s="2" t="inlineStr">
        <is>
          <t>Chuẩn bị và xác minh môi trường triển khai demo</t>
        </is>
      </c>
      <c r="N237" s="2" t="inlineStr">
        <is>
          <t>24120244</t>
        </is>
      </c>
      <c r="O237" s="2" t="inlineStr">
        <is>
          <t>Phan Van Viet</t>
        </is>
      </c>
      <c r="P237" s="2" t="inlineStr">
        <is>
          <t>CIN-SUB-236</t>
        </is>
      </c>
      <c r="Q237" s="2" t="inlineStr">
        <is>
          <t>Sprint 5</t>
        </is>
      </c>
      <c r="R237" s="2" t="inlineStr">
        <is>
          <t>24120255</t>
        </is>
      </c>
      <c r="S237" s="2" t="inlineStr">
        <is>
          <t>Tran Thien An</t>
        </is>
      </c>
      <c r="T237" s="3" t="n">
        <v>46354</v>
      </c>
      <c r="U237" s="3" t="n">
        <v>46368</v>
      </c>
      <c r="V237" s="2" t="n">
        <v>3</v>
      </c>
      <c r="W237" s="2" t="inlineStr">
        <is>
          <t>Medium</t>
        </is>
      </c>
      <c r="X237" s="2" t="inlineStr">
        <is>
          <t>Deployment</t>
        </is>
      </c>
      <c r="Y237" s="2" t="inlineStr">
        <is>
          <t>CIN-T-037, CIN-T-038, CIN-T-027</t>
        </is>
      </c>
      <c r="Z237" s="2" t="inlineStr">
        <is>
          <t>Hoàn tất kết quả gốc: Deploy ASP.NET Core API.</t>
        </is>
      </c>
      <c r="AA237" s="2" t="inlineStr">
        <is>
          <t>Kết quả gốc được kiểm tra và có bằng chứng gắn với CIN-SUB-236; ngoại lệ được ghi rõ.</t>
        </is>
      </c>
      <c r="AB237" s="2" t="inlineStr">
        <is>
          <t>Planned</t>
        </is>
      </c>
      <c r="AC237" s="2" t="inlineStr">
        <is>
          <t>Planned only; no completion evidence was transferred.</t>
        </is>
      </c>
    </row>
    <row r="238">
      <c r="A238" s="2" t="inlineStr">
        <is>
          <t>ORIG-237</t>
        </is>
      </c>
      <c r="B238" s="2" t="n">
        <v>238</v>
      </c>
      <c r="C238" s="2" t="inlineStr">
        <is>
          <t>Deployment</t>
        </is>
      </c>
      <c r="D238" s="2" t="n"/>
      <c r="E238" s="2" t="inlineStr">
        <is>
          <t>Deploy Frontend</t>
        </is>
      </c>
      <c r="F238" s="2" t="inlineStr">
        <is>
          <t>Deploy Web Frontend</t>
        </is>
      </c>
      <c r="G238" s="2" t="inlineStr">
        <is>
          <t>Cần thiết để hỗ trợ chức năng chính</t>
        </is>
      </c>
      <c r="H238" s="2" t="inlineStr">
        <is>
          <t>Sprint 5</t>
        </is>
      </c>
      <c r="I238" s="2" t="inlineStr">
        <is>
          <t>Deploy demo theo rubric; VPS/domain/production hoàn chỉnh cần xác minh.</t>
        </is>
      </c>
      <c r="J238" s="2" t="inlineStr">
        <is>
          <t>PH-04</t>
        </is>
      </c>
      <c r="K238" s="2" t="inlineStr">
        <is>
          <t>Release, Verification &amp; Handover</t>
        </is>
      </c>
      <c r="L238" s="2" t="inlineStr">
        <is>
          <t>CIN-T-039</t>
        </is>
      </c>
      <c r="M238" s="2" t="inlineStr">
        <is>
          <t>Chuẩn bị và xác minh môi trường triển khai demo</t>
        </is>
      </c>
      <c r="N238" s="2" t="inlineStr">
        <is>
          <t>24120244</t>
        </is>
      </c>
      <c r="O238" s="2" t="inlineStr">
        <is>
          <t>Phan Van Viet</t>
        </is>
      </c>
      <c r="P238" s="2" t="inlineStr">
        <is>
          <t>CIN-SUB-237</t>
        </is>
      </c>
      <c r="Q238" s="2" t="inlineStr">
        <is>
          <t>Sprint 5</t>
        </is>
      </c>
      <c r="R238" s="2" t="inlineStr">
        <is>
          <t>24120235</t>
        </is>
      </c>
      <c r="S238" s="2" t="inlineStr">
        <is>
          <t>Huynh Thanh Tu</t>
        </is>
      </c>
      <c r="T238" s="3" t="n">
        <v>46354</v>
      </c>
      <c r="U238" s="3" t="n">
        <v>46368</v>
      </c>
      <c r="V238" s="2" t="n">
        <v>3</v>
      </c>
      <c r="W238" s="2" t="inlineStr">
        <is>
          <t>Medium</t>
        </is>
      </c>
      <c r="X238" s="2" t="inlineStr">
        <is>
          <t>Deployment</t>
        </is>
      </c>
      <c r="Y238" s="2" t="inlineStr">
        <is>
          <t>CIN-T-037, CIN-T-038, CIN-T-027</t>
        </is>
      </c>
      <c r="Z238" s="2" t="inlineStr">
        <is>
          <t>Hoàn tất kết quả gốc: Deploy Web Frontend.</t>
        </is>
      </c>
      <c r="AA238" s="2" t="inlineStr">
        <is>
          <t>Kết quả gốc được kiểm tra và có bằng chứng gắn với CIN-SUB-237; ngoại lệ được ghi rõ.</t>
        </is>
      </c>
      <c r="AB238" s="2" t="inlineStr">
        <is>
          <t>Planned</t>
        </is>
      </c>
      <c r="AC238" s="2" t="inlineStr">
        <is>
          <t>Planned only; no completion evidence was transferred.</t>
        </is>
      </c>
    </row>
    <row r="239">
      <c r="A239" s="2" t="inlineStr">
        <is>
          <t>ORIG-238</t>
        </is>
      </c>
      <c r="B239" s="2" t="n">
        <v>239</v>
      </c>
      <c r="C239" s="2" t="inlineStr">
        <is>
          <t>Deployment</t>
        </is>
      </c>
      <c r="D239" s="2" t="n"/>
      <c r="E239" s="2" t="inlineStr">
        <is>
          <t>Deploy PostgreSQL</t>
        </is>
      </c>
      <c r="F239" s="2" t="inlineStr">
        <is>
          <t>Database production</t>
        </is>
      </c>
      <c r="G239" s="2" t="inlineStr">
        <is>
          <t>Cần thiết để hỗ trợ chức năng chính</t>
        </is>
      </c>
      <c r="H239" s="2" t="inlineStr">
        <is>
          <t>Sprint 5</t>
        </is>
      </c>
      <c r="I239" s="2" t="inlineStr">
        <is>
          <t>Deploy demo theo rubric; VPS/domain/production hoàn chỉnh cần xác minh.</t>
        </is>
      </c>
      <c r="J239" s="2" t="inlineStr">
        <is>
          <t>PH-04</t>
        </is>
      </c>
      <c r="K239" s="2" t="inlineStr">
        <is>
          <t>Release, Verification &amp; Handover</t>
        </is>
      </c>
      <c r="L239" s="2" t="inlineStr">
        <is>
          <t>CIN-T-039</t>
        </is>
      </c>
      <c r="M239" s="2" t="inlineStr">
        <is>
          <t>Chuẩn bị và xác minh môi trường triển khai demo</t>
        </is>
      </c>
      <c r="N239" s="2" t="inlineStr">
        <is>
          <t>24120244</t>
        </is>
      </c>
      <c r="O239" s="2" t="inlineStr">
        <is>
          <t>Phan Van Viet</t>
        </is>
      </c>
      <c r="P239" s="2" t="inlineStr">
        <is>
          <t>CIN-SUB-238</t>
        </is>
      </c>
      <c r="Q239" s="2" t="inlineStr">
        <is>
          <t>Sprint 5</t>
        </is>
      </c>
      <c r="R239" s="2" t="inlineStr">
        <is>
          <t>24120244</t>
        </is>
      </c>
      <c r="S239" s="2" t="inlineStr">
        <is>
          <t>Phan Van Viet</t>
        </is>
      </c>
      <c r="T239" s="3" t="n">
        <v>46354</v>
      </c>
      <c r="U239" s="3" t="n">
        <v>46368</v>
      </c>
      <c r="V239" s="2" t="n">
        <v>3</v>
      </c>
      <c r="W239" s="2" t="inlineStr">
        <is>
          <t>Medium</t>
        </is>
      </c>
      <c r="X239" s="2" t="inlineStr">
        <is>
          <t>Deployment</t>
        </is>
      </c>
      <c r="Y239" s="2" t="inlineStr">
        <is>
          <t>CIN-T-037, CIN-T-038, CIN-T-027</t>
        </is>
      </c>
      <c r="Z239" s="2" t="inlineStr">
        <is>
          <t>Hoàn tất kết quả gốc: Database production.</t>
        </is>
      </c>
      <c r="AA239" s="2" t="inlineStr">
        <is>
          <t>Kết quả gốc được kiểm tra và có bằng chứng gắn với CIN-SUB-238; ngoại lệ được ghi rõ.</t>
        </is>
      </c>
      <c r="AB239" s="2" t="inlineStr">
        <is>
          <t>Planned</t>
        </is>
      </c>
      <c r="AC239" s="2" t="inlineStr">
        <is>
          <t>Planned only; no completion evidence was transferred.</t>
        </is>
      </c>
    </row>
    <row r="240">
      <c r="A240" s="2" t="inlineStr">
        <is>
          <t>ORIG-239</t>
        </is>
      </c>
      <c r="B240" s="2" t="n">
        <v>240</v>
      </c>
      <c r="C240" s="2" t="inlineStr">
        <is>
          <t>Deployment</t>
        </is>
      </c>
      <c r="D240" s="2" t="n"/>
      <c r="E240" s="2" t="inlineStr">
        <is>
          <t>Production Connection</t>
        </is>
      </c>
      <c r="F240" s="2" t="inlineStr">
        <is>
          <t>Backend kết nối PostgreSQL production</t>
        </is>
      </c>
      <c r="G240" s="2" t="inlineStr">
        <is>
          <t>Cần thiết để hỗ trợ chức năng chính</t>
        </is>
      </c>
      <c r="H240" s="2" t="inlineStr">
        <is>
          <t>Sprint 5</t>
        </is>
      </c>
      <c r="I240" s="2" t="inlineStr">
        <is>
          <t>Deploy demo theo rubric; VPS/domain/production hoàn chỉnh cần xác minh.</t>
        </is>
      </c>
      <c r="J240" s="2" t="inlineStr">
        <is>
          <t>PH-04</t>
        </is>
      </c>
      <c r="K240" s="2" t="inlineStr">
        <is>
          <t>Release, Verification &amp; Handover</t>
        </is>
      </c>
      <c r="L240" s="2" t="inlineStr">
        <is>
          <t>CIN-T-039</t>
        </is>
      </c>
      <c r="M240" s="2" t="inlineStr">
        <is>
          <t>Chuẩn bị và xác minh môi trường triển khai demo</t>
        </is>
      </c>
      <c r="N240" s="2" t="inlineStr">
        <is>
          <t>24120244</t>
        </is>
      </c>
      <c r="O240" s="2" t="inlineStr">
        <is>
          <t>Phan Van Viet</t>
        </is>
      </c>
      <c r="P240" s="2" t="inlineStr">
        <is>
          <t>CIN-SUB-239</t>
        </is>
      </c>
      <c r="Q240" s="2" t="inlineStr">
        <is>
          <t>Sprint 5</t>
        </is>
      </c>
      <c r="R240" s="2" t="inlineStr">
        <is>
          <t>24120098</t>
        </is>
      </c>
      <c r="S240" s="2" t="inlineStr">
        <is>
          <t>Nguyen Quoc Nam</t>
        </is>
      </c>
      <c r="T240" s="3" t="n">
        <v>46354</v>
      </c>
      <c r="U240" s="3" t="n">
        <v>46368</v>
      </c>
      <c r="V240" s="2" t="n">
        <v>3</v>
      </c>
      <c r="W240" s="2" t="inlineStr">
        <is>
          <t>Medium</t>
        </is>
      </c>
      <c r="X240" s="2" t="inlineStr">
        <is>
          <t>Deployment</t>
        </is>
      </c>
      <c r="Y240" s="2" t="inlineStr">
        <is>
          <t>CIN-T-037, CIN-T-038, CIN-T-027</t>
        </is>
      </c>
      <c r="Z240" s="2" t="inlineStr">
        <is>
          <t>Hoàn tất kết quả gốc: Backend kết nối PostgreSQL production.</t>
        </is>
      </c>
      <c r="AA240" s="2" t="inlineStr">
        <is>
          <t>Kết quả gốc được kiểm tra và có bằng chứng gắn với CIN-SUB-239; ngoại lệ được ghi rõ.</t>
        </is>
      </c>
      <c r="AB240" s="2" t="inlineStr">
        <is>
          <t>Planned</t>
        </is>
      </c>
      <c r="AC240" s="2" t="inlineStr">
        <is>
          <t>Planned only; no completion evidence was transferred.</t>
        </is>
      </c>
    </row>
    <row r="241">
      <c r="A241" s="2" t="inlineStr">
        <is>
          <t>ORIG-240</t>
        </is>
      </c>
      <c r="B241" s="2" t="n">
        <v>241</v>
      </c>
      <c r="C241" s="2" t="inlineStr">
        <is>
          <t>Deployment</t>
        </is>
      </c>
      <c r="D241" s="2" t="n"/>
      <c r="E241" s="2" t="inlineStr">
        <is>
          <t>Production Migration</t>
        </is>
      </c>
      <c r="F241" s="2" t="inlineStr">
        <is>
          <t>Chạy EF Core Migration trên production</t>
        </is>
      </c>
      <c r="G241" s="2" t="inlineStr">
        <is>
          <t>Cần thiết để hỗ trợ chức năng chính</t>
        </is>
      </c>
      <c r="H241" s="2" t="inlineStr">
        <is>
          <t>Sprint 5</t>
        </is>
      </c>
      <c r="I241" s="2" t="inlineStr">
        <is>
          <t>Deploy demo theo rubric; VPS/domain/production hoàn chỉnh cần xác minh.</t>
        </is>
      </c>
      <c r="J241" s="2" t="inlineStr">
        <is>
          <t>PH-04</t>
        </is>
      </c>
      <c r="K241" s="2" t="inlineStr">
        <is>
          <t>Release, Verification &amp; Handover</t>
        </is>
      </c>
      <c r="L241" s="2" t="inlineStr">
        <is>
          <t>CIN-T-039</t>
        </is>
      </c>
      <c r="M241" s="2" t="inlineStr">
        <is>
          <t>Chuẩn bị và xác minh môi trường triển khai demo</t>
        </is>
      </c>
      <c r="N241" s="2" t="inlineStr">
        <is>
          <t>24120244</t>
        </is>
      </c>
      <c r="O241" s="2" t="inlineStr">
        <is>
          <t>Phan Van Viet</t>
        </is>
      </c>
      <c r="P241" s="2" t="inlineStr">
        <is>
          <t>CIN-SUB-240</t>
        </is>
      </c>
      <c r="Q241" s="2" t="inlineStr">
        <is>
          <t>Sprint 5</t>
        </is>
      </c>
      <c r="R241" s="2" t="inlineStr">
        <is>
          <t>24120271</t>
        </is>
      </c>
      <c r="S241" s="2" t="inlineStr">
        <is>
          <t>Nguyen Trung Chinh</t>
        </is>
      </c>
      <c r="T241" s="3" t="n">
        <v>46354</v>
      </c>
      <c r="U241" s="3" t="n">
        <v>46368</v>
      </c>
      <c r="V241" s="2" t="n">
        <v>3</v>
      </c>
      <c r="W241" s="2" t="inlineStr">
        <is>
          <t>Medium</t>
        </is>
      </c>
      <c r="X241" s="2" t="inlineStr">
        <is>
          <t>Deployment</t>
        </is>
      </c>
      <c r="Y241" s="2" t="inlineStr">
        <is>
          <t>CIN-T-037, CIN-T-038, CIN-T-027</t>
        </is>
      </c>
      <c r="Z241" s="2" t="inlineStr">
        <is>
          <t>Hoàn tất kết quả gốc: Chạy EF Core Migration trên production.</t>
        </is>
      </c>
      <c r="AA241" s="2" t="inlineStr">
        <is>
          <t>Kết quả gốc được kiểm tra và có bằng chứng gắn với CIN-SUB-240; ngoại lệ được ghi rõ.</t>
        </is>
      </c>
      <c r="AB241" s="2" t="inlineStr">
        <is>
          <t>Planned</t>
        </is>
      </c>
      <c r="AC241" s="2" t="inlineStr">
        <is>
          <t>Planned only; no completion evidence was transferred.</t>
        </is>
      </c>
    </row>
    <row r="242">
      <c r="A242" s="2" t="inlineStr">
        <is>
          <t>ORIG-241</t>
        </is>
      </c>
      <c r="B242" s="2" t="n">
        <v>242</v>
      </c>
      <c r="C242" s="2" t="inlineStr">
        <is>
          <t>Deployment</t>
        </is>
      </c>
      <c r="D242" s="2" t="n"/>
      <c r="E242" s="2" t="inlineStr">
        <is>
          <t>Production Seed</t>
        </is>
      </c>
      <c r="F242" s="2" t="inlineStr">
        <is>
          <t>Dữ liệu production cần thiết</t>
        </is>
      </c>
      <c r="G242" s="2" t="inlineStr">
        <is>
          <t>Cần thiết để hỗ trợ chức năng chính</t>
        </is>
      </c>
      <c r="H242" s="2" t="inlineStr">
        <is>
          <t>Sprint 5</t>
        </is>
      </c>
      <c r="I242" s="2" t="inlineStr">
        <is>
          <t>Deploy demo theo rubric; VPS/domain/production hoàn chỉnh cần xác minh.</t>
        </is>
      </c>
      <c r="J242" s="2" t="inlineStr">
        <is>
          <t>PH-04</t>
        </is>
      </c>
      <c r="K242" s="2" t="inlineStr">
        <is>
          <t>Release, Verification &amp; Handover</t>
        </is>
      </c>
      <c r="L242" s="2" t="inlineStr">
        <is>
          <t>CIN-T-039</t>
        </is>
      </c>
      <c r="M242" s="2" t="inlineStr">
        <is>
          <t>Chuẩn bị và xác minh môi trường triển khai demo</t>
        </is>
      </c>
      <c r="N242" s="2" t="inlineStr">
        <is>
          <t>24120244</t>
        </is>
      </c>
      <c r="O242" s="2" t="inlineStr">
        <is>
          <t>Phan Van Viet</t>
        </is>
      </c>
      <c r="P242" s="2" t="inlineStr">
        <is>
          <t>CIN-SUB-241</t>
        </is>
      </c>
      <c r="Q242" s="2" t="inlineStr">
        <is>
          <t>Sprint 5</t>
        </is>
      </c>
      <c r="R242" s="2" t="inlineStr">
        <is>
          <t>24120255</t>
        </is>
      </c>
      <c r="S242" s="2" t="inlineStr">
        <is>
          <t>Tran Thien An</t>
        </is>
      </c>
      <c r="T242" s="3" t="n">
        <v>46354</v>
      </c>
      <c r="U242" s="3" t="n">
        <v>46368</v>
      </c>
      <c r="V242" s="2" t="n">
        <v>2</v>
      </c>
      <c r="W242" s="2" t="inlineStr">
        <is>
          <t>Medium</t>
        </is>
      </c>
      <c r="X242" s="2" t="inlineStr">
        <is>
          <t>Deployment</t>
        </is>
      </c>
      <c r="Y242" s="2" t="inlineStr">
        <is>
          <t>CIN-T-037, CIN-T-038, CIN-T-027</t>
        </is>
      </c>
      <c r="Z242" s="2" t="inlineStr">
        <is>
          <t>Hoàn tất kết quả gốc: Dữ liệu production cần thiết.</t>
        </is>
      </c>
      <c r="AA242" s="2" t="inlineStr">
        <is>
          <t>Kết quả gốc được kiểm tra và có bằng chứng gắn với CIN-SUB-241; ngoại lệ được ghi rõ.</t>
        </is>
      </c>
      <c r="AB242" s="2" t="inlineStr">
        <is>
          <t>Planned</t>
        </is>
      </c>
      <c r="AC242" s="2" t="inlineStr">
        <is>
          <t>Planned only; no completion evidence was transferred.</t>
        </is>
      </c>
    </row>
    <row r="243">
      <c r="A243" s="2" t="inlineStr">
        <is>
          <t>ORIG-242</t>
        </is>
      </c>
      <c r="B243" s="2" t="n">
        <v>243</v>
      </c>
      <c r="C243" s="2" t="inlineStr">
        <is>
          <t>Deployment</t>
        </is>
      </c>
      <c r="D243" s="2" t="n"/>
      <c r="E243" s="2" t="inlineStr">
        <is>
          <t>Domain</t>
        </is>
      </c>
      <c r="F243" s="2" t="inlineStr">
        <is>
          <t>Cấu hình domain nếu có</t>
        </is>
      </c>
      <c r="G243" s="2" t="inlineStr">
        <is>
          <t>Mở rộng</t>
        </is>
      </c>
      <c r="H243" s="2" t="inlineStr">
        <is>
          <t>Sprint 5</t>
        </is>
      </c>
      <c r="I243" s="2" t="inlineStr">
        <is>
          <t>Hạng mục nâng cao/phụ thuộc môi trường; xác nhận rubric và khả năng trước khi cam kết.</t>
        </is>
      </c>
      <c r="J243" s="2" t="inlineStr">
        <is>
          <t>PH-04</t>
        </is>
      </c>
      <c r="K243" s="2" t="inlineStr">
        <is>
          <t>Release, Verification &amp; Handover</t>
        </is>
      </c>
      <c r="L243" s="2" t="inlineStr">
        <is>
          <t>CIN-T-040</t>
        </is>
      </c>
      <c r="M243" s="2" t="inlineStr">
        <is>
          <t>Hoàn thiện hosting và xác nhận triển khai</t>
        </is>
      </c>
      <c r="N243" s="2" t="inlineStr">
        <is>
          <t>24120244</t>
        </is>
      </c>
      <c r="O243" s="2" t="inlineStr">
        <is>
          <t>Phan Van Viet</t>
        </is>
      </c>
      <c r="P243" s="2" t="inlineStr">
        <is>
          <t>CIN-SUB-242</t>
        </is>
      </c>
      <c r="Q243" s="2" t="inlineStr">
        <is>
          <t>Sprint 5</t>
        </is>
      </c>
      <c r="R243" s="2" t="inlineStr">
        <is>
          <t>24120235</t>
        </is>
      </c>
      <c r="S243" s="2" t="inlineStr">
        <is>
          <t>Huynh Thanh Tu</t>
        </is>
      </c>
      <c r="T243" s="3" t="n">
        <v>46354</v>
      </c>
      <c r="U243" s="3" t="n">
        <v>46368</v>
      </c>
      <c r="V243" s="2" t="n">
        <v>2</v>
      </c>
      <c r="W243" s="2" t="inlineStr">
        <is>
          <t>Low</t>
        </is>
      </c>
      <c r="X243" s="2" t="inlineStr">
        <is>
          <t>Deployment</t>
        </is>
      </c>
      <c r="Y243" s="2" t="inlineStr">
        <is>
          <t>CIN-T-039</t>
        </is>
      </c>
      <c r="Z243" s="2" t="inlineStr">
        <is>
          <t>Hoàn tất kết quả gốc: Cấu hình domain nếu có.</t>
        </is>
      </c>
      <c r="AA243" s="2" t="inlineStr">
        <is>
          <t>Kết quả gốc được kiểm tra và có bằng chứng gắn với CIN-SUB-242; ngoại lệ được ghi rõ.</t>
        </is>
      </c>
      <c r="AB243" s="2" t="inlineStr">
        <is>
          <t>Planned</t>
        </is>
      </c>
      <c r="AC243" s="2" t="inlineStr">
        <is>
          <t>Planned only; no completion evidence was transferred. Conditional/optional; confirm rubric, infrastructure and remaining capacity.</t>
        </is>
      </c>
    </row>
    <row r="244">
      <c r="A244" s="2" t="inlineStr">
        <is>
          <t>ORIG-243</t>
        </is>
      </c>
      <c r="B244" s="2" t="n">
        <v>244</v>
      </c>
      <c r="C244" s="2" t="inlineStr">
        <is>
          <t>Deployment</t>
        </is>
      </c>
      <c r="D244" s="2" t="n"/>
      <c r="E244" s="2" t="inlineStr">
        <is>
          <t>DNS</t>
        </is>
      </c>
      <c r="F244" s="2" t="inlineStr">
        <is>
          <t>Trỏ domain về server / hosting</t>
        </is>
      </c>
      <c r="G244" s="2" t="inlineStr">
        <is>
          <t>Mở rộng</t>
        </is>
      </c>
      <c r="H244" s="2" t="inlineStr">
        <is>
          <t>Sprint 5</t>
        </is>
      </c>
      <c r="I244" s="2" t="inlineStr">
        <is>
          <t>Hạng mục nâng cao/phụ thuộc môi trường; xác nhận rubric và khả năng trước khi cam kết.</t>
        </is>
      </c>
      <c r="J244" s="2" t="inlineStr">
        <is>
          <t>PH-04</t>
        </is>
      </c>
      <c r="K244" s="2" t="inlineStr">
        <is>
          <t>Release, Verification &amp; Handover</t>
        </is>
      </c>
      <c r="L244" s="2" t="inlineStr">
        <is>
          <t>CIN-T-040</t>
        </is>
      </c>
      <c r="M244" s="2" t="inlineStr">
        <is>
          <t>Hoàn thiện hosting và xác nhận triển khai</t>
        </is>
      </c>
      <c r="N244" s="2" t="inlineStr">
        <is>
          <t>24120244</t>
        </is>
      </c>
      <c r="O244" s="2" t="inlineStr">
        <is>
          <t>Phan Van Viet</t>
        </is>
      </c>
      <c r="P244" s="2" t="inlineStr">
        <is>
          <t>CIN-SUB-243</t>
        </is>
      </c>
      <c r="Q244" s="2" t="inlineStr">
        <is>
          <t>Sprint 5</t>
        </is>
      </c>
      <c r="R244" s="2" t="inlineStr">
        <is>
          <t>24120244</t>
        </is>
      </c>
      <c r="S244" s="2" t="inlineStr">
        <is>
          <t>Phan Van Viet</t>
        </is>
      </c>
      <c r="T244" s="3" t="n">
        <v>46354</v>
      </c>
      <c r="U244" s="3" t="n">
        <v>46368</v>
      </c>
      <c r="V244" s="2" t="n">
        <v>2</v>
      </c>
      <c r="W244" s="2" t="inlineStr">
        <is>
          <t>Low</t>
        </is>
      </c>
      <c r="X244" s="2" t="inlineStr">
        <is>
          <t>Deployment</t>
        </is>
      </c>
      <c r="Y244" s="2" t="inlineStr">
        <is>
          <t>CIN-T-039</t>
        </is>
      </c>
      <c r="Z244" s="2" t="inlineStr">
        <is>
          <t>Hoàn tất kết quả gốc: Trỏ domain về server / hosting.</t>
        </is>
      </c>
      <c r="AA244" s="2" t="inlineStr">
        <is>
          <t>Kết quả gốc được kiểm tra và có bằng chứng gắn với CIN-SUB-243; ngoại lệ được ghi rõ.</t>
        </is>
      </c>
      <c r="AB244" s="2" t="inlineStr">
        <is>
          <t>Planned</t>
        </is>
      </c>
      <c r="AC244" s="2" t="inlineStr">
        <is>
          <t>Planned only; no completion evidence was transferred. Conditional/optional; confirm rubric, infrastructure and remaining capacity.</t>
        </is>
      </c>
    </row>
    <row r="245">
      <c r="A245" s="2" t="inlineStr">
        <is>
          <t>ORIG-244</t>
        </is>
      </c>
      <c r="B245" s="2" t="n">
        <v>245</v>
      </c>
      <c r="C245" s="2" t="inlineStr">
        <is>
          <t>Deployment</t>
        </is>
      </c>
      <c r="D245" s="2" t="n"/>
      <c r="E245" s="2" t="inlineStr">
        <is>
          <t>HTTPS / SSL</t>
        </is>
      </c>
      <c r="F245" s="2" t="inlineStr">
        <is>
          <t>Cấu hình chứng chỉ SSL</t>
        </is>
      </c>
      <c r="G245" s="2" t="inlineStr">
        <is>
          <t>Cần thiết để hỗ trợ chức năng chính</t>
        </is>
      </c>
      <c r="H245" s="2" t="inlineStr">
        <is>
          <t>Sprint 5</t>
        </is>
      </c>
      <c r="I245" s="2" t="inlineStr">
        <is>
          <t>Deploy demo theo rubric; VPS/domain/production hoàn chỉnh cần xác minh.</t>
        </is>
      </c>
      <c r="J245" s="2" t="inlineStr">
        <is>
          <t>PH-04</t>
        </is>
      </c>
      <c r="K245" s="2" t="inlineStr">
        <is>
          <t>Release, Verification &amp; Handover</t>
        </is>
      </c>
      <c r="L245" s="2" t="inlineStr">
        <is>
          <t>CIN-T-040</t>
        </is>
      </c>
      <c r="M245" s="2" t="inlineStr">
        <is>
          <t>Hoàn thiện hosting và xác nhận triển khai</t>
        </is>
      </c>
      <c r="N245" s="2" t="inlineStr">
        <is>
          <t>24120244</t>
        </is>
      </c>
      <c r="O245" s="2" t="inlineStr">
        <is>
          <t>Phan Van Viet</t>
        </is>
      </c>
      <c r="P245" s="2" t="inlineStr">
        <is>
          <t>CIN-SUB-244</t>
        </is>
      </c>
      <c r="Q245" s="2" t="inlineStr">
        <is>
          <t>Sprint 5</t>
        </is>
      </c>
      <c r="R245" s="2" t="inlineStr">
        <is>
          <t>24120098</t>
        </is>
      </c>
      <c r="S245" s="2" t="inlineStr">
        <is>
          <t>Nguyen Quoc Nam</t>
        </is>
      </c>
      <c r="T245" s="3" t="n">
        <v>46354</v>
      </c>
      <c r="U245" s="3" t="n">
        <v>46368</v>
      </c>
      <c r="V245" s="2" t="n">
        <v>2</v>
      </c>
      <c r="W245" s="2" t="inlineStr">
        <is>
          <t>Low</t>
        </is>
      </c>
      <c r="X245" s="2" t="inlineStr">
        <is>
          <t>Deployment</t>
        </is>
      </c>
      <c r="Y245" s="2" t="inlineStr">
        <is>
          <t>CIN-T-039</t>
        </is>
      </c>
      <c r="Z245" s="2" t="inlineStr">
        <is>
          <t>Hoàn tất kết quả gốc: Cấu hình chứng chỉ SSL.</t>
        </is>
      </c>
      <c r="AA245" s="2" t="inlineStr">
        <is>
          <t>Kết quả gốc được kiểm tra và có bằng chứng gắn với CIN-SUB-244; ngoại lệ được ghi rõ.</t>
        </is>
      </c>
      <c r="AB245" s="2" t="inlineStr">
        <is>
          <t>Planned</t>
        </is>
      </c>
      <c r="AC245" s="2" t="inlineStr">
        <is>
          <t>Planned only; no completion evidence was transferred. Conditional/optional; confirm rubric, infrastructure and remaining capacity.</t>
        </is>
      </c>
    </row>
    <row r="246">
      <c r="A246" s="2" t="inlineStr">
        <is>
          <t>ORIG-245</t>
        </is>
      </c>
      <c r="B246" s="2" t="n">
        <v>246</v>
      </c>
      <c r="C246" s="2" t="inlineStr">
        <is>
          <t>Deployment</t>
        </is>
      </c>
      <c r="D246" s="2" t="n"/>
      <c r="E246" s="2" t="inlineStr">
        <is>
          <t>Production CORS</t>
        </is>
      </c>
      <c r="F246" s="2" t="inlineStr">
        <is>
          <t>Cho phép đúng frontend domain</t>
        </is>
      </c>
      <c r="G246" s="2" t="inlineStr">
        <is>
          <t>Mở rộng</t>
        </is>
      </c>
      <c r="H246" s="2" t="inlineStr">
        <is>
          <t>Sprint 5</t>
        </is>
      </c>
      <c r="I246" s="2" t="inlineStr">
        <is>
          <t>Hạng mục nâng cao/phụ thuộc môi trường; xác nhận rubric và khả năng trước khi cam kết.</t>
        </is>
      </c>
      <c r="J246" s="2" t="inlineStr">
        <is>
          <t>PH-04</t>
        </is>
      </c>
      <c r="K246" s="2" t="inlineStr">
        <is>
          <t>Release, Verification &amp; Handover</t>
        </is>
      </c>
      <c r="L246" s="2" t="inlineStr">
        <is>
          <t>CIN-T-040</t>
        </is>
      </c>
      <c r="M246" s="2" t="inlineStr">
        <is>
          <t>Hoàn thiện hosting và xác nhận triển khai</t>
        </is>
      </c>
      <c r="N246" s="2" t="inlineStr">
        <is>
          <t>24120244</t>
        </is>
      </c>
      <c r="O246" s="2" t="inlineStr">
        <is>
          <t>Phan Van Viet</t>
        </is>
      </c>
      <c r="P246" s="2" t="inlineStr">
        <is>
          <t>CIN-SUB-245</t>
        </is>
      </c>
      <c r="Q246" s="2" t="inlineStr">
        <is>
          <t>Sprint 5</t>
        </is>
      </c>
      <c r="R246" s="2" t="inlineStr">
        <is>
          <t>24120271</t>
        </is>
      </c>
      <c r="S246" s="2" t="inlineStr">
        <is>
          <t>Nguyen Trung Chinh</t>
        </is>
      </c>
      <c r="T246" s="3" t="n">
        <v>46354</v>
      </c>
      <c r="U246" s="3" t="n">
        <v>46368</v>
      </c>
      <c r="V246" s="2" t="n">
        <v>2</v>
      </c>
      <c r="W246" s="2" t="inlineStr">
        <is>
          <t>Low</t>
        </is>
      </c>
      <c r="X246" s="2" t="inlineStr">
        <is>
          <t>Deployment</t>
        </is>
      </c>
      <c r="Y246" s="2" t="inlineStr">
        <is>
          <t>CIN-T-039</t>
        </is>
      </c>
      <c r="Z246" s="2" t="inlineStr">
        <is>
          <t>Hoàn tất kết quả gốc: Cho phép đúng frontend domain.</t>
        </is>
      </c>
      <c r="AA246" s="2" t="inlineStr">
        <is>
          <t>Kết quả gốc được kiểm tra và có bằng chứng gắn với CIN-SUB-245; ngoại lệ được ghi rõ.</t>
        </is>
      </c>
      <c r="AB246" s="2" t="inlineStr">
        <is>
          <t>Planned</t>
        </is>
      </c>
      <c r="AC246" s="2" t="inlineStr">
        <is>
          <t>Planned only; no completion evidence was transferred. Conditional/optional; confirm rubric, infrastructure and remaining capacity.</t>
        </is>
      </c>
    </row>
    <row r="247">
      <c r="A247" s="2" t="inlineStr">
        <is>
          <t>ORIG-246</t>
        </is>
      </c>
      <c r="B247" s="2" t="n">
        <v>247</v>
      </c>
      <c r="C247" s="2" t="inlineStr">
        <is>
          <t>Deployment</t>
        </is>
      </c>
      <c r="D247" s="2" t="n"/>
      <c r="E247" s="2" t="inlineStr">
        <is>
          <t>Production Environment Variables</t>
        </is>
      </c>
      <c r="F247" s="2" t="inlineStr">
        <is>
          <t>JWT, DB, Payment API, AI API,...</t>
        </is>
      </c>
      <c r="G247" s="2" t="inlineStr">
        <is>
          <t>Cần thiết để hỗ trợ chức năng chính</t>
        </is>
      </c>
      <c r="H247" s="2" t="inlineStr">
        <is>
          <t>Sprint 5</t>
        </is>
      </c>
      <c r="I247" s="2" t="inlineStr">
        <is>
          <t>Deploy demo theo rubric; VPS/domain/production hoàn chỉnh cần xác minh.</t>
        </is>
      </c>
      <c r="J247" s="2" t="inlineStr">
        <is>
          <t>PH-04</t>
        </is>
      </c>
      <c r="K247" s="2" t="inlineStr">
        <is>
          <t>Release, Verification &amp; Handover</t>
        </is>
      </c>
      <c r="L247" s="2" t="inlineStr">
        <is>
          <t>CIN-T-040</t>
        </is>
      </c>
      <c r="M247" s="2" t="inlineStr">
        <is>
          <t>Hoàn thiện hosting và xác nhận triển khai</t>
        </is>
      </c>
      <c r="N247" s="2" t="inlineStr">
        <is>
          <t>24120244</t>
        </is>
      </c>
      <c r="O247" s="2" t="inlineStr">
        <is>
          <t>Phan Van Viet</t>
        </is>
      </c>
      <c r="P247" s="2" t="inlineStr">
        <is>
          <t>CIN-SUB-246</t>
        </is>
      </c>
      <c r="Q247" s="2" t="inlineStr">
        <is>
          <t>Sprint 5</t>
        </is>
      </c>
      <c r="R247" s="2" t="inlineStr">
        <is>
          <t>24120255</t>
        </is>
      </c>
      <c r="S247" s="2" t="inlineStr">
        <is>
          <t>Tran Thien An</t>
        </is>
      </c>
      <c r="T247" s="3" t="n">
        <v>46354</v>
      </c>
      <c r="U247" s="3" t="n">
        <v>46368</v>
      </c>
      <c r="V247" s="2" t="n">
        <v>3</v>
      </c>
      <c r="W247" s="2" t="inlineStr">
        <is>
          <t>Low</t>
        </is>
      </c>
      <c r="X247" s="2" t="inlineStr">
        <is>
          <t>Deployment</t>
        </is>
      </c>
      <c r="Y247" s="2" t="inlineStr">
        <is>
          <t>CIN-T-039</t>
        </is>
      </c>
      <c r="Z247" s="2" t="inlineStr">
        <is>
          <t>Hoàn tất kết quả gốc: JWT, DB, Payment API, AI API,....</t>
        </is>
      </c>
      <c r="AA247" s="2" t="inlineStr">
        <is>
          <t>Kết quả gốc được kiểm tra và có bằng chứng gắn với CIN-SUB-246; ngoại lệ được ghi rõ.</t>
        </is>
      </c>
      <c r="AB247" s="2" t="inlineStr">
        <is>
          <t>Planned</t>
        </is>
      </c>
      <c r="AC247" s="2" t="inlineStr">
        <is>
          <t>Planned only; no completion evidence was transferred. Conditional/optional; confirm rubric, infrastructure and remaining capacity.</t>
        </is>
      </c>
    </row>
    <row r="248">
      <c r="A248" s="2" t="inlineStr">
        <is>
          <t>ORIG-247</t>
        </is>
      </c>
      <c r="B248" s="2" t="n">
        <v>248</v>
      </c>
      <c r="C248" s="2" t="inlineStr">
        <is>
          <t>Deployment</t>
        </is>
      </c>
      <c r="D248" s="2" t="n"/>
      <c r="E248" s="2" t="inlineStr">
        <is>
          <t>Production Build</t>
        </is>
      </c>
      <c r="F248" s="2" t="inlineStr">
        <is>
          <t>Build đúng cấu hình production</t>
        </is>
      </c>
      <c r="G248" s="2" t="inlineStr">
        <is>
          <t>Cần thiết để hỗ trợ chức năng chính</t>
        </is>
      </c>
      <c r="H248" s="2" t="inlineStr">
        <is>
          <t>Sprint 5</t>
        </is>
      </c>
      <c r="I248" s="2" t="inlineStr">
        <is>
          <t>Deploy demo theo rubric; VPS/domain/production hoàn chỉnh cần xác minh.</t>
        </is>
      </c>
      <c r="J248" s="2" t="inlineStr">
        <is>
          <t>PH-04</t>
        </is>
      </c>
      <c r="K248" s="2" t="inlineStr">
        <is>
          <t>Release, Verification &amp; Handover</t>
        </is>
      </c>
      <c r="L248" s="2" t="inlineStr">
        <is>
          <t>CIN-T-040</t>
        </is>
      </c>
      <c r="M248" s="2" t="inlineStr">
        <is>
          <t>Hoàn thiện hosting và xác nhận triển khai</t>
        </is>
      </c>
      <c r="N248" s="2" t="inlineStr">
        <is>
          <t>24120244</t>
        </is>
      </c>
      <c r="O248" s="2" t="inlineStr">
        <is>
          <t>Phan Van Viet</t>
        </is>
      </c>
      <c r="P248" s="2" t="inlineStr">
        <is>
          <t>CIN-SUB-247</t>
        </is>
      </c>
      <c r="Q248" s="2" t="inlineStr">
        <is>
          <t>Sprint 5</t>
        </is>
      </c>
      <c r="R248" s="2" t="inlineStr">
        <is>
          <t>24120235</t>
        </is>
      </c>
      <c r="S248" s="2" t="inlineStr">
        <is>
          <t>Huynh Thanh Tu</t>
        </is>
      </c>
      <c r="T248" s="3" t="n">
        <v>46354</v>
      </c>
      <c r="U248" s="3" t="n">
        <v>46368</v>
      </c>
      <c r="V248" s="2" t="n">
        <v>2</v>
      </c>
      <c r="W248" s="2" t="inlineStr">
        <is>
          <t>Low</t>
        </is>
      </c>
      <c r="X248" s="2" t="inlineStr">
        <is>
          <t>Deployment</t>
        </is>
      </c>
      <c r="Y248" s="2" t="inlineStr">
        <is>
          <t>CIN-T-039</t>
        </is>
      </c>
      <c r="Z248" s="2" t="inlineStr">
        <is>
          <t>Hoàn tất kết quả gốc: Build đúng cấu hình production.</t>
        </is>
      </c>
      <c r="AA248" s="2" t="inlineStr">
        <is>
          <t>Kết quả gốc được kiểm tra và có bằng chứng gắn với CIN-SUB-247; ngoại lệ được ghi rõ.</t>
        </is>
      </c>
      <c r="AB248" s="2" t="inlineStr">
        <is>
          <t>Planned</t>
        </is>
      </c>
      <c r="AC248" s="2" t="inlineStr">
        <is>
          <t>Planned only; no completion evidence was transferred. Conditional/optional; confirm rubric, infrastructure and remaining capacity.</t>
        </is>
      </c>
    </row>
    <row r="249">
      <c r="A249" s="2" t="inlineStr">
        <is>
          <t>ORIG-248</t>
        </is>
      </c>
      <c r="B249" s="2" t="n">
        <v>249</v>
      </c>
      <c r="C249" s="2" t="inlineStr">
        <is>
          <t>Deployment</t>
        </is>
      </c>
      <c r="D249" s="2" t="n"/>
      <c r="E249" s="2" t="inlineStr">
        <is>
          <t>Deployment Verification</t>
        </is>
      </c>
      <c r="F249" s="2" t="inlineStr">
        <is>
          <t>Kiểm tra hệ thống sau deploy</t>
        </is>
      </c>
      <c r="G249" s="2" t="inlineStr">
        <is>
          <t>Cần thiết để hỗ trợ chức năng chính</t>
        </is>
      </c>
      <c r="H249" s="2" t="inlineStr">
        <is>
          <t>Sprint 5</t>
        </is>
      </c>
      <c r="I249" s="2" t="inlineStr">
        <is>
          <t>Deploy demo theo rubric; VPS/domain/production hoàn chỉnh cần xác minh.</t>
        </is>
      </c>
      <c r="J249" s="2" t="inlineStr">
        <is>
          <t>PH-04</t>
        </is>
      </c>
      <c r="K249" s="2" t="inlineStr">
        <is>
          <t>Release, Verification &amp; Handover</t>
        </is>
      </c>
      <c r="L249" s="2" t="inlineStr">
        <is>
          <t>CIN-T-040</t>
        </is>
      </c>
      <c r="M249" s="2" t="inlineStr">
        <is>
          <t>Hoàn thiện hosting và xác nhận triển khai</t>
        </is>
      </c>
      <c r="N249" s="2" t="inlineStr">
        <is>
          <t>24120244</t>
        </is>
      </c>
      <c r="O249" s="2" t="inlineStr">
        <is>
          <t>Phan Van Viet</t>
        </is>
      </c>
      <c r="P249" s="2" t="inlineStr">
        <is>
          <t>CIN-SUB-248</t>
        </is>
      </c>
      <c r="Q249" s="2" t="inlineStr">
        <is>
          <t>Sprint 5</t>
        </is>
      </c>
      <c r="R249" s="2" t="inlineStr">
        <is>
          <t>24120244</t>
        </is>
      </c>
      <c r="S249" s="2" t="inlineStr">
        <is>
          <t>Phan Van Viet</t>
        </is>
      </c>
      <c r="T249" s="3" t="n">
        <v>46354</v>
      </c>
      <c r="U249" s="3" t="n">
        <v>46368</v>
      </c>
      <c r="V249" s="2" t="n">
        <v>3</v>
      </c>
      <c r="W249" s="2" t="inlineStr">
        <is>
          <t>Low</t>
        </is>
      </c>
      <c r="X249" s="2" t="inlineStr">
        <is>
          <t>Deployment</t>
        </is>
      </c>
      <c r="Y249" s="2" t="inlineStr">
        <is>
          <t>CIN-T-039</t>
        </is>
      </c>
      <c r="Z249" s="2" t="inlineStr">
        <is>
          <t>Hoàn tất kết quả gốc: Kiểm tra hệ thống sau deploy.</t>
        </is>
      </c>
      <c r="AA249" s="2" t="inlineStr">
        <is>
          <t>Kết quả gốc được kiểm tra và có bằng chứng gắn với CIN-SUB-248; ngoại lệ được ghi rõ.</t>
        </is>
      </c>
      <c r="AB249" s="2" t="inlineStr">
        <is>
          <t>Planned</t>
        </is>
      </c>
      <c r="AC249" s="2" t="inlineStr">
        <is>
          <t>Planned only; no completion evidence was transferred. Conditional/optional; confirm rubric, infrastructure and remaining capacity.</t>
        </is>
      </c>
    </row>
    <row r="250">
      <c r="A250" s="2" t="inlineStr">
        <is>
          <t>ORIG-249</t>
        </is>
      </c>
      <c r="B250" s="2" t="n">
        <v>250</v>
      </c>
      <c r="C250" s="2" t="inlineStr">
        <is>
          <t>Production / Operations</t>
        </is>
      </c>
      <c r="D250" s="2" t="inlineStr">
        <is>
          <t>Vận hành</t>
        </is>
      </c>
      <c r="E250" s="2" t="inlineStr">
        <is>
          <t>Health Check</t>
        </is>
      </c>
      <c r="F250" s="2" t="inlineStr">
        <is>
          <t>API / Database health check</t>
        </is>
      </c>
      <c r="G250" s="2" t="inlineStr">
        <is>
          <t>Mở rộng</t>
        </is>
      </c>
      <c r="H250" s="2" t="inlineStr">
        <is>
          <t>Sprint 5</t>
        </is>
      </c>
      <c r="I250" s="2" t="inlineStr">
        <is>
          <t>Vận hành nâng cao như backup/monitoring có thể là mở rộng.</t>
        </is>
      </c>
      <c r="J250" s="2" t="inlineStr">
        <is>
          <t>PH-04</t>
        </is>
      </c>
      <c r="K250" s="2" t="inlineStr">
        <is>
          <t>Release, Verification &amp; Handover</t>
        </is>
      </c>
      <c r="L250" s="2" t="inlineStr">
        <is>
          <t>CIN-T-041</t>
        </is>
      </c>
      <c r="M250" s="2" t="inlineStr">
        <is>
          <t>Đánh giá logging, health, backup và vận hành</t>
        </is>
      </c>
      <c r="N250" s="2" t="inlineStr">
        <is>
          <t>24120098</t>
        </is>
      </c>
      <c r="O250" s="2" t="inlineStr">
        <is>
          <t>Nguyen Quoc Nam</t>
        </is>
      </c>
      <c r="P250" s="2" t="inlineStr">
        <is>
          <t>CIN-SUB-249</t>
        </is>
      </c>
      <c r="Q250" s="2" t="inlineStr">
        <is>
          <t>Sprint 5</t>
        </is>
      </c>
      <c r="R250" s="2" t="inlineStr">
        <is>
          <t>24120098</t>
        </is>
      </c>
      <c r="S250" s="2" t="inlineStr">
        <is>
          <t>Nguyen Quoc Nam</t>
        </is>
      </c>
      <c r="T250" s="3" t="n">
        <v>46354</v>
      </c>
      <c r="U250" s="3" t="n">
        <v>46368</v>
      </c>
      <c r="V250" s="2" t="n">
        <v>2</v>
      </c>
      <c r="W250" s="2" t="inlineStr">
        <is>
          <t>Low</t>
        </is>
      </c>
      <c r="X250" s="2" t="inlineStr">
        <is>
          <t>Operations</t>
        </is>
      </c>
      <c r="Y250" s="2" t="inlineStr">
        <is>
          <t>CIN-T-039</t>
        </is>
      </c>
      <c r="Z250" s="2" t="inlineStr">
        <is>
          <t>Hoàn tất kết quả gốc: API / Database health check.</t>
        </is>
      </c>
      <c r="AA250" s="2" t="inlineStr">
        <is>
          <t>Kết quả gốc được kiểm tra và có bằng chứng gắn với CIN-SUB-249; ngoại lệ được ghi rõ.</t>
        </is>
      </c>
      <c r="AB250" s="2" t="inlineStr">
        <is>
          <t>Planned</t>
        </is>
      </c>
      <c r="AC250" s="2" t="inlineStr">
        <is>
          <t>Planned only; no completion evidence was transferred. Conditional/optional; confirm rubric, infrastructure and remaining capacity.</t>
        </is>
      </c>
    </row>
    <row r="251">
      <c r="A251" s="2" t="inlineStr">
        <is>
          <t>ORIG-250</t>
        </is>
      </c>
      <c r="B251" s="2" t="n">
        <v>251</v>
      </c>
      <c r="C251" s="2" t="inlineStr">
        <is>
          <t>Production / Operations</t>
        </is>
      </c>
      <c r="D251" s="2" t="n"/>
      <c r="E251" s="2" t="inlineStr">
        <is>
          <t>Logging</t>
        </is>
      </c>
      <c r="F251" s="2" t="inlineStr">
        <is>
          <t>Log API, database, authentication, booking, payment</t>
        </is>
      </c>
      <c r="G251" s="2" t="inlineStr">
        <is>
          <t>Mở rộng</t>
        </is>
      </c>
      <c r="H251" s="2" t="inlineStr">
        <is>
          <t>Sprint 5</t>
        </is>
      </c>
      <c r="I251" s="2" t="inlineStr">
        <is>
          <t>Vận hành nâng cao như backup/monitoring có thể là mở rộng.</t>
        </is>
      </c>
      <c r="J251" s="2" t="inlineStr">
        <is>
          <t>PH-04</t>
        </is>
      </c>
      <c r="K251" s="2" t="inlineStr">
        <is>
          <t>Release, Verification &amp; Handover</t>
        </is>
      </c>
      <c r="L251" s="2" t="inlineStr">
        <is>
          <t>CIN-T-041</t>
        </is>
      </c>
      <c r="M251" s="2" t="inlineStr">
        <is>
          <t>Đánh giá logging, health, backup và vận hành</t>
        </is>
      </c>
      <c r="N251" s="2" t="inlineStr">
        <is>
          <t>24120098</t>
        </is>
      </c>
      <c r="O251" s="2" t="inlineStr">
        <is>
          <t>Nguyen Quoc Nam</t>
        </is>
      </c>
      <c r="P251" s="2" t="inlineStr">
        <is>
          <t>CIN-SUB-250</t>
        </is>
      </c>
      <c r="Q251" s="2" t="inlineStr">
        <is>
          <t>Sprint 5</t>
        </is>
      </c>
      <c r="R251" s="2" t="inlineStr">
        <is>
          <t>24120271</t>
        </is>
      </c>
      <c r="S251" s="2" t="inlineStr">
        <is>
          <t>Nguyen Trung Chinh</t>
        </is>
      </c>
      <c r="T251" s="3" t="n">
        <v>46354</v>
      </c>
      <c r="U251" s="3" t="n">
        <v>46368</v>
      </c>
      <c r="V251" s="2" t="n">
        <v>2</v>
      </c>
      <c r="W251" s="2" t="inlineStr">
        <is>
          <t>Low</t>
        </is>
      </c>
      <c r="X251" s="2" t="inlineStr">
        <is>
          <t>Operations</t>
        </is>
      </c>
      <c r="Y251" s="2" t="inlineStr">
        <is>
          <t>CIN-T-039</t>
        </is>
      </c>
      <c r="Z251" s="2" t="inlineStr">
        <is>
          <t>Hoàn tất kết quả gốc: Log API, database, authentication, booking, payment.</t>
        </is>
      </c>
      <c r="AA251" s="2" t="inlineStr">
        <is>
          <t>Kết quả gốc được kiểm tra và có bằng chứng gắn với CIN-SUB-250; ngoại lệ được ghi rõ.</t>
        </is>
      </c>
      <c r="AB251" s="2" t="inlineStr">
        <is>
          <t>Planned</t>
        </is>
      </c>
      <c r="AC251" s="2" t="inlineStr">
        <is>
          <t>Planned only; no completion evidence was transferred. Conditional/optional; confirm rubric, infrastructure and remaining capacity.</t>
        </is>
      </c>
    </row>
    <row r="252">
      <c r="A252" s="2" t="inlineStr">
        <is>
          <t>ORIG-251</t>
        </is>
      </c>
      <c r="B252" s="2" t="n">
        <v>252</v>
      </c>
      <c r="C252" s="2" t="inlineStr">
        <is>
          <t>Production / Operations</t>
        </is>
      </c>
      <c r="D252" s="2" t="n"/>
      <c r="E252" s="2" t="inlineStr">
        <is>
          <t>Error Monitoring</t>
        </is>
      </c>
      <c r="F252" s="2" t="inlineStr">
        <is>
          <t>Theo dõi lỗi production</t>
        </is>
      </c>
      <c r="G252" s="2" t="inlineStr">
        <is>
          <t>Mở rộng</t>
        </is>
      </c>
      <c r="H252" s="2" t="inlineStr">
        <is>
          <t>Sprint 5</t>
        </is>
      </c>
      <c r="I252" s="2" t="inlineStr">
        <is>
          <t>Hạng mục nâng cao/phụ thuộc môi trường; xác nhận rubric và khả năng trước khi cam kết.</t>
        </is>
      </c>
      <c r="J252" s="2" t="inlineStr">
        <is>
          <t>PH-04</t>
        </is>
      </c>
      <c r="K252" s="2" t="inlineStr">
        <is>
          <t>Release, Verification &amp; Handover</t>
        </is>
      </c>
      <c r="L252" s="2" t="inlineStr">
        <is>
          <t>CIN-T-041</t>
        </is>
      </c>
      <c r="M252" s="2" t="inlineStr">
        <is>
          <t>Đánh giá logging, health, backup và vận hành</t>
        </is>
      </c>
      <c r="N252" s="2" t="inlineStr">
        <is>
          <t>24120098</t>
        </is>
      </c>
      <c r="O252" s="2" t="inlineStr">
        <is>
          <t>Nguyen Quoc Nam</t>
        </is>
      </c>
      <c r="P252" s="2" t="inlineStr">
        <is>
          <t>CIN-SUB-251</t>
        </is>
      </c>
      <c r="Q252" s="2" t="inlineStr">
        <is>
          <t>Sprint 5</t>
        </is>
      </c>
      <c r="R252" s="2" t="inlineStr">
        <is>
          <t>24120235</t>
        </is>
      </c>
      <c r="S252" s="2" t="inlineStr">
        <is>
          <t>Huynh Thanh Tu</t>
        </is>
      </c>
      <c r="T252" s="3" t="n">
        <v>46354</v>
      </c>
      <c r="U252" s="3" t="n">
        <v>46368</v>
      </c>
      <c r="V252" s="2" t="n">
        <v>2</v>
      </c>
      <c r="W252" s="2" t="inlineStr">
        <is>
          <t>Low</t>
        </is>
      </c>
      <c r="X252" s="2" t="inlineStr">
        <is>
          <t>Operations</t>
        </is>
      </c>
      <c r="Y252" s="2" t="inlineStr">
        <is>
          <t>CIN-T-039</t>
        </is>
      </c>
      <c r="Z252" s="2" t="inlineStr">
        <is>
          <t>Hoàn tất kết quả gốc: Theo dõi lỗi production.</t>
        </is>
      </c>
      <c r="AA252" s="2" t="inlineStr">
        <is>
          <t>Kết quả gốc được kiểm tra và có bằng chứng gắn với CIN-SUB-251; ngoại lệ được ghi rõ.</t>
        </is>
      </c>
      <c r="AB252" s="2" t="inlineStr">
        <is>
          <t>Planned</t>
        </is>
      </c>
      <c r="AC252" s="2" t="inlineStr">
        <is>
          <t>Planned only; no completion evidence was transferred. Conditional/optional; confirm rubric, infrastructure and remaining capacity.</t>
        </is>
      </c>
    </row>
    <row r="253">
      <c r="A253" s="2" t="inlineStr">
        <is>
          <t>ORIG-252</t>
        </is>
      </c>
      <c r="B253" s="2" t="n">
        <v>253</v>
      </c>
      <c r="C253" s="2" t="inlineStr">
        <is>
          <t>Production / Operations</t>
        </is>
      </c>
      <c r="D253" s="2" t="n"/>
      <c r="E253" s="2" t="inlineStr">
        <is>
          <t>Database Backup</t>
        </is>
      </c>
      <c r="F253" s="2" t="inlineStr">
        <is>
          <t>Backup PostgreSQL</t>
        </is>
      </c>
      <c r="G253" s="2" t="inlineStr">
        <is>
          <t>Mở rộng</t>
        </is>
      </c>
      <c r="H253" s="2" t="inlineStr">
        <is>
          <t>Sprint 5</t>
        </is>
      </c>
      <c r="I253" s="2" t="inlineStr">
        <is>
          <t>Hạng mục nâng cao/phụ thuộc môi trường; xác nhận rubric và khả năng trước khi cam kết.</t>
        </is>
      </c>
      <c r="J253" s="2" t="inlineStr">
        <is>
          <t>PH-04</t>
        </is>
      </c>
      <c r="K253" s="2" t="inlineStr">
        <is>
          <t>Release, Verification &amp; Handover</t>
        </is>
      </c>
      <c r="L253" s="2" t="inlineStr">
        <is>
          <t>CIN-T-041</t>
        </is>
      </c>
      <c r="M253" s="2" t="inlineStr">
        <is>
          <t>Đánh giá logging, health, backup và vận hành</t>
        </is>
      </c>
      <c r="N253" s="2" t="inlineStr">
        <is>
          <t>24120098</t>
        </is>
      </c>
      <c r="O253" s="2" t="inlineStr">
        <is>
          <t>Nguyen Quoc Nam</t>
        </is>
      </c>
      <c r="P253" s="2" t="inlineStr">
        <is>
          <t>CIN-SUB-252</t>
        </is>
      </c>
      <c r="Q253" s="2" t="inlineStr">
        <is>
          <t>Sprint 5</t>
        </is>
      </c>
      <c r="R253" s="2" t="inlineStr">
        <is>
          <t>24120255</t>
        </is>
      </c>
      <c r="S253" s="2" t="inlineStr">
        <is>
          <t>Tran Thien An</t>
        </is>
      </c>
      <c r="T253" s="3" t="n">
        <v>46354</v>
      </c>
      <c r="U253" s="3" t="n">
        <v>46368</v>
      </c>
      <c r="V253" s="2" t="n">
        <v>2</v>
      </c>
      <c r="W253" s="2" t="inlineStr">
        <is>
          <t>Low</t>
        </is>
      </c>
      <c r="X253" s="2" t="inlineStr">
        <is>
          <t>Operations</t>
        </is>
      </c>
      <c r="Y253" s="2" t="inlineStr">
        <is>
          <t>CIN-T-039</t>
        </is>
      </c>
      <c r="Z253" s="2" t="inlineStr">
        <is>
          <t>Hoàn tất kết quả gốc: Backup PostgreSQL.</t>
        </is>
      </c>
      <c r="AA253" s="2" t="inlineStr">
        <is>
          <t>Kết quả gốc được kiểm tra và có bằng chứng gắn với CIN-SUB-252; ngoại lệ được ghi rõ.</t>
        </is>
      </c>
      <c r="AB253" s="2" t="inlineStr">
        <is>
          <t>Planned</t>
        </is>
      </c>
      <c r="AC253" s="2" t="inlineStr">
        <is>
          <t>Planned only; no completion evidence was transferred. Conditional/optional; confirm rubric, infrastructure and remaining capacity.</t>
        </is>
      </c>
    </row>
    <row r="254">
      <c r="A254" s="2" t="inlineStr">
        <is>
          <t>ORIG-253</t>
        </is>
      </c>
      <c r="B254" s="2" t="n">
        <v>254</v>
      </c>
      <c r="C254" s="2" t="inlineStr">
        <is>
          <t>Production / Operations</t>
        </is>
      </c>
      <c r="D254" s="2" t="n"/>
      <c r="E254" s="2" t="inlineStr">
        <is>
          <t>Database Restore Test</t>
        </is>
      </c>
      <c r="F254" s="2" t="inlineStr">
        <is>
          <t>Kiểm tra khả năng restore</t>
        </is>
      </c>
      <c r="G254" s="2" t="inlineStr">
        <is>
          <t>Mở rộng</t>
        </is>
      </c>
      <c r="H254" s="2" t="inlineStr">
        <is>
          <t>Sprint 5</t>
        </is>
      </c>
      <c r="I254" s="2" t="inlineStr">
        <is>
          <t>Hạng mục nâng cao/phụ thuộc môi trường; xác nhận rubric và khả năng trước khi cam kết.</t>
        </is>
      </c>
      <c r="J254" s="2" t="inlineStr">
        <is>
          <t>PH-04</t>
        </is>
      </c>
      <c r="K254" s="2" t="inlineStr">
        <is>
          <t>Release, Verification &amp; Handover</t>
        </is>
      </c>
      <c r="L254" s="2" t="inlineStr">
        <is>
          <t>CIN-T-041</t>
        </is>
      </c>
      <c r="M254" s="2" t="inlineStr">
        <is>
          <t>Đánh giá logging, health, backup và vận hành</t>
        </is>
      </c>
      <c r="N254" s="2" t="inlineStr">
        <is>
          <t>24120098</t>
        </is>
      </c>
      <c r="O254" s="2" t="inlineStr">
        <is>
          <t>Nguyen Quoc Nam</t>
        </is>
      </c>
      <c r="P254" s="2" t="inlineStr">
        <is>
          <t>CIN-SUB-253</t>
        </is>
      </c>
      <c r="Q254" s="2" t="inlineStr">
        <is>
          <t>Sprint 5</t>
        </is>
      </c>
      <c r="R254" s="2" t="inlineStr">
        <is>
          <t>24120098</t>
        </is>
      </c>
      <c r="S254" s="2" t="inlineStr">
        <is>
          <t>Nguyen Quoc Nam</t>
        </is>
      </c>
      <c r="T254" s="3" t="n">
        <v>46354</v>
      </c>
      <c r="U254" s="3" t="n">
        <v>46368</v>
      </c>
      <c r="V254" s="2" t="n">
        <v>2</v>
      </c>
      <c r="W254" s="2" t="inlineStr">
        <is>
          <t>Low</t>
        </is>
      </c>
      <c r="X254" s="2" t="inlineStr">
        <is>
          <t>Operations</t>
        </is>
      </c>
      <c r="Y254" s="2" t="inlineStr">
        <is>
          <t>CIN-T-039</t>
        </is>
      </c>
      <c r="Z254" s="2" t="inlineStr">
        <is>
          <t>Hoàn tất kết quả gốc: Kiểm tra khả năng restore.</t>
        </is>
      </c>
      <c r="AA254" s="2" t="inlineStr">
        <is>
          <t>Kết quả gốc được kiểm tra và có bằng chứng gắn với CIN-SUB-253; ngoại lệ được ghi rõ.</t>
        </is>
      </c>
      <c r="AB254" s="2" t="inlineStr">
        <is>
          <t>Planned</t>
        </is>
      </c>
      <c r="AC254" s="2" t="inlineStr">
        <is>
          <t>Planned only; no completion evidence was transferred. Conditional/optional; confirm rubric, infrastructure and remaining capacity.</t>
        </is>
      </c>
    </row>
    <row r="255">
      <c r="A255" s="2" t="inlineStr">
        <is>
          <t>ORIG-254</t>
        </is>
      </c>
      <c r="B255" s="2" t="n">
        <v>255</v>
      </c>
      <c r="C255" s="2" t="inlineStr">
        <is>
          <t>Production / Operations</t>
        </is>
      </c>
      <c r="D255" s="2" t="n"/>
      <c r="E255" s="2" t="inlineStr">
        <is>
          <t>Monitoring</t>
        </is>
      </c>
      <c r="F255" s="2" t="inlineStr">
        <is>
          <t>Theo dõi server / API / database</t>
        </is>
      </c>
      <c r="G255" s="2" t="inlineStr">
        <is>
          <t>Mở rộng</t>
        </is>
      </c>
      <c r="H255" s="2" t="inlineStr">
        <is>
          <t>Sprint 5</t>
        </is>
      </c>
      <c r="I255" s="2" t="inlineStr">
        <is>
          <t>Vận hành nâng cao như backup/monitoring có thể là mở rộng.</t>
        </is>
      </c>
      <c r="J255" s="2" t="inlineStr">
        <is>
          <t>PH-04</t>
        </is>
      </c>
      <c r="K255" s="2" t="inlineStr">
        <is>
          <t>Release, Verification &amp; Handover</t>
        </is>
      </c>
      <c r="L255" s="2" t="inlineStr">
        <is>
          <t>CIN-T-041</t>
        </is>
      </c>
      <c r="M255" s="2" t="inlineStr">
        <is>
          <t>Đánh giá logging, health, backup và vận hành</t>
        </is>
      </c>
      <c r="N255" s="2" t="inlineStr">
        <is>
          <t>24120098</t>
        </is>
      </c>
      <c r="O255" s="2" t="inlineStr">
        <is>
          <t>Nguyen Quoc Nam</t>
        </is>
      </c>
      <c r="P255" s="2" t="inlineStr">
        <is>
          <t>CIN-SUB-254</t>
        </is>
      </c>
      <c r="Q255" s="2" t="inlineStr">
        <is>
          <t>Sprint 5</t>
        </is>
      </c>
      <c r="R255" s="2" t="inlineStr">
        <is>
          <t>24120271</t>
        </is>
      </c>
      <c r="S255" s="2" t="inlineStr">
        <is>
          <t>Nguyen Trung Chinh</t>
        </is>
      </c>
      <c r="T255" s="3" t="n">
        <v>46354</v>
      </c>
      <c r="U255" s="3" t="n">
        <v>46368</v>
      </c>
      <c r="V255" s="2" t="n">
        <v>2</v>
      </c>
      <c r="W255" s="2" t="inlineStr">
        <is>
          <t>Low</t>
        </is>
      </c>
      <c r="X255" s="2" t="inlineStr">
        <is>
          <t>Operations</t>
        </is>
      </c>
      <c r="Y255" s="2" t="inlineStr">
        <is>
          <t>CIN-T-039</t>
        </is>
      </c>
      <c r="Z255" s="2" t="inlineStr">
        <is>
          <t>Hoàn tất kết quả gốc: Theo dõi server / API / database.</t>
        </is>
      </c>
      <c r="AA255" s="2" t="inlineStr">
        <is>
          <t>Kết quả gốc được kiểm tra và có bằng chứng gắn với CIN-SUB-254; ngoại lệ được ghi rõ.</t>
        </is>
      </c>
      <c r="AB255" s="2" t="inlineStr">
        <is>
          <t>Planned</t>
        </is>
      </c>
      <c r="AC255" s="2" t="inlineStr">
        <is>
          <t>Planned only; no completion evidence was transferred. Conditional/optional; confirm rubric, infrastructure and remaining capacity.</t>
        </is>
      </c>
    </row>
    <row r="256">
      <c r="A256" s="2" t="inlineStr">
        <is>
          <t>ORIG-255</t>
        </is>
      </c>
      <c r="B256" s="2" t="n">
        <v>256</v>
      </c>
      <c r="C256" s="2" t="inlineStr">
        <is>
          <t>Production / Operations</t>
        </is>
      </c>
      <c r="D256" s="2" t="n"/>
      <c r="E256" s="2" t="inlineStr">
        <is>
          <t>Performance Check</t>
        </is>
      </c>
      <c r="F256" s="2" t="inlineStr">
        <is>
          <t>Kiểm tra response time và tải cơ bản</t>
        </is>
      </c>
      <c r="G256" s="2" t="inlineStr">
        <is>
          <t>Mở rộng</t>
        </is>
      </c>
      <c r="H256" s="2" t="inlineStr">
        <is>
          <t>Sprint 5</t>
        </is>
      </c>
      <c r="I256" s="2" t="inlineStr">
        <is>
          <t>Vận hành nâng cao như backup/monitoring có thể là mở rộng.</t>
        </is>
      </c>
      <c r="J256" s="2" t="inlineStr">
        <is>
          <t>PH-04</t>
        </is>
      </c>
      <c r="K256" s="2" t="inlineStr">
        <is>
          <t>Release, Verification &amp; Handover</t>
        </is>
      </c>
      <c r="L256" s="2" t="inlineStr">
        <is>
          <t>CIN-T-041</t>
        </is>
      </c>
      <c r="M256" s="2" t="inlineStr">
        <is>
          <t>Đánh giá logging, health, backup và vận hành</t>
        </is>
      </c>
      <c r="N256" s="2" t="inlineStr">
        <is>
          <t>24120098</t>
        </is>
      </c>
      <c r="O256" s="2" t="inlineStr">
        <is>
          <t>Nguyen Quoc Nam</t>
        </is>
      </c>
      <c r="P256" s="2" t="inlineStr">
        <is>
          <t>CIN-SUB-255</t>
        </is>
      </c>
      <c r="Q256" s="2" t="inlineStr">
        <is>
          <t>Sprint 5</t>
        </is>
      </c>
      <c r="R256" s="2" t="inlineStr">
        <is>
          <t>24120244</t>
        </is>
      </c>
      <c r="S256" s="2" t="inlineStr">
        <is>
          <t>Phan Van Viet</t>
        </is>
      </c>
      <c r="T256" s="3" t="n">
        <v>46354</v>
      </c>
      <c r="U256" s="3" t="n">
        <v>46368</v>
      </c>
      <c r="V256" s="2" t="n">
        <v>2</v>
      </c>
      <c r="W256" s="2" t="inlineStr">
        <is>
          <t>Low</t>
        </is>
      </c>
      <c r="X256" s="2" t="inlineStr">
        <is>
          <t>Operations</t>
        </is>
      </c>
      <c r="Y256" s="2" t="inlineStr">
        <is>
          <t>CIN-T-039</t>
        </is>
      </c>
      <c r="Z256" s="2" t="inlineStr">
        <is>
          <t>Hoàn tất kết quả gốc: Kiểm tra response time và tải cơ bản.</t>
        </is>
      </c>
      <c r="AA256" s="2" t="inlineStr">
        <is>
          <t>Kết quả gốc được kiểm tra và có bằng chứng gắn với CIN-SUB-255; ngoại lệ được ghi rõ.</t>
        </is>
      </c>
      <c r="AB256" s="2" t="inlineStr">
        <is>
          <t>Planned</t>
        </is>
      </c>
      <c r="AC256" s="2" t="inlineStr">
        <is>
          <t>Planned only; no completion evidence was transferred. Conditional/optional; confirm rubric, infrastructure and remaining capacity.</t>
        </is>
      </c>
    </row>
    <row r="257">
      <c r="A257" s="2" t="inlineStr">
        <is>
          <t>ORIG-256</t>
        </is>
      </c>
      <c r="B257" s="2" t="n">
        <v>257</v>
      </c>
      <c r="C257" s="2" t="inlineStr">
        <is>
          <t>Production / Operations</t>
        </is>
      </c>
      <c r="D257" s="2" t="n"/>
      <c r="E257" s="2" t="inlineStr">
        <is>
          <t>Production Smoke Test</t>
        </is>
      </c>
      <c r="F257" s="2" t="inlineStr">
        <is>
          <t>Kiểm tra các chức năng quan trọng sau deploy</t>
        </is>
      </c>
      <c r="G257" s="2" t="inlineStr">
        <is>
          <t>Mở rộng</t>
        </is>
      </c>
      <c r="H257" s="2" t="inlineStr">
        <is>
          <t>Sprint 5</t>
        </is>
      </c>
      <c r="I257" s="2" t="inlineStr">
        <is>
          <t>Hạng mục nâng cao/phụ thuộc môi trường; xác nhận rubric và khả năng trước khi cam kết.</t>
        </is>
      </c>
      <c r="J257" s="2" t="inlineStr">
        <is>
          <t>PH-04</t>
        </is>
      </c>
      <c r="K257" s="2" t="inlineStr">
        <is>
          <t>Release, Verification &amp; Handover</t>
        </is>
      </c>
      <c r="L257" s="2" t="inlineStr">
        <is>
          <t>CIN-T-041</t>
        </is>
      </c>
      <c r="M257" s="2" t="inlineStr">
        <is>
          <t>Đánh giá logging, health, backup và vận hành</t>
        </is>
      </c>
      <c r="N257" s="2" t="inlineStr">
        <is>
          <t>24120098</t>
        </is>
      </c>
      <c r="O257" s="2" t="inlineStr">
        <is>
          <t>Nguyen Quoc Nam</t>
        </is>
      </c>
      <c r="P257" s="2" t="inlineStr">
        <is>
          <t>CIN-SUB-256</t>
        </is>
      </c>
      <c r="Q257" s="2" t="inlineStr">
        <is>
          <t>Sprint 5</t>
        </is>
      </c>
      <c r="R257" s="2" t="inlineStr">
        <is>
          <t>24120235</t>
        </is>
      </c>
      <c r="S257" s="2" t="inlineStr">
        <is>
          <t>Huynh Thanh Tu</t>
        </is>
      </c>
      <c r="T257" s="3" t="n">
        <v>46354</v>
      </c>
      <c r="U257" s="3" t="n">
        <v>46368</v>
      </c>
      <c r="V257" s="2" t="n">
        <v>2</v>
      </c>
      <c r="W257" s="2" t="inlineStr">
        <is>
          <t>Low</t>
        </is>
      </c>
      <c r="X257" s="2" t="inlineStr">
        <is>
          <t>Operations</t>
        </is>
      </c>
      <c r="Y257" s="2" t="inlineStr">
        <is>
          <t>CIN-T-039</t>
        </is>
      </c>
      <c r="Z257" s="2" t="inlineStr">
        <is>
          <t>Hoàn tất kết quả gốc: Kiểm tra các chức năng quan trọng sau deploy.</t>
        </is>
      </c>
      <c r="AA257" s="2" t="inlineStr">
        <is>
          <t>Kết quả gốc được kiểm tra và có bằng chứng gắn với CIN-SUB-256; ngoại lệ được ghi rõ.</t>
        </is>
      </c>
      <c r="AB257" s="2" t="inlineStr">
        <is>
          <t>Planned</t>
        </is>
      </c>
      <c r="AC257" s="2" t="inlineStr">
        <is>
          <t>Planned only; no completion evidence was transferred. Conditional/optional; confirm rubric, infrastructure and remaining capacity.</t>
        </is>
      </c>
    </row>
    <row r="258">
      <c r="A258" s="2" t="inlineStr">
        <is>
          <t>ORIG-257</t>
        </is>
      </c>
      <c r="B258" s="2" t="n">
        <v>258</v>
      </c>
      <c r="C258" s="2" t="inlineStr">
        <is>
          <t>Documentation</t>
        </is>
      </c>
      <c r="D258" s="2" t="inlineStr">
        <is>
          <t>Tài liệu</t>
        </is>
      </c>
      <c r="E258" s="2" t="inlineStr">
        <is>
          <t>README</t>
        </is>
      </c>
      <c r="F258" s="2" t="inlineStr">
        <is>
          <t>Hướng dẫn cài đặt và chạy project</t>
        </is>
      </c>
      <c r="G258" s="2" t="inlineStr">
        <is>
          <t>Bắt buộc</t>
        </is>
      </c>
      <c r="H258" s="2" t="inlineStr">
        <is>
          <t>Sprint 2</t>
        </is>
      </c>
      <c r="I258" s="2" t="inlineStr">
        <is>
          <t>README và tài liệu bàn giao cần cập nhật xuyên suốt; hoàn thiện cuối kỳ.</t>
        </is>
      </c>
      <c r="J258" s="2" t="inlineStr">
        <is>
          <t>PH-02</t>
        </is>
      </c>
      <c r="K258" s="2" t="inlineStr">
        <is>
          <t>Solution Design &amp; Foundations</t>
        </is>
      </c>
      <c r="L258" s="2" t="inlineStr">
        <is>
          <t>CIN-T-042</t>
        </is>
      </c>
      <c r="M258" s="2" t="inlineStr">
        <is>
          <t>Tạo README và tài liệu kiến trúc/database ban đầu</t>
        </is>
      </c>
      <c r="N258" s="2" t="inlineStr">
        <is>
          <t>24120271</t>
        </is>
      </c>
      <c r="O258" s="2" t="inlineStr">
        <is>
          <t>Nguyen Trung Chinh</t>
        </is>
      </c>
      <c r="P258" s="2" t="inlineStr">
        <is>
          <t>CIN-SUB-257</t>
        </is>
      </c>
      <c r="Q258" s="2" t="inlineStr">
        <is>
          <t>Sprint 2</t>
        </is>
      </c>
      <c r="R258" s="2" t="inlineStr">
        <is>
          <t>24120271</t>
        </is>
      </c>
      <c r="S258" s="2" t="inlineStr">
        <is>
          <t>Nguyen Trung Chinh</t>
        </is>
      </c>
      <c r="T258" s="3" t="n">
        <v>46312</v>
      </c>
      <c r="U258" s="3" t="n">
        <v>46325</v>
      </c>
      <c r="V258" s="2" t="n">
        <v>1</v>
      </c>
      <c r="W258" s="2" t="inlineStr">
        <is>
          <t>Medium</t>
        </is>
      </c>
      <c r="X258" s="2" t="inlineStr">
        <is>
          <t>Documentation</t>
        </is>
      </c>
      <c r="Y258" s="2" t="inlineStr">
        <is>
          <t>CIN-T-007, CIN-T-003</t>
        </is>
      </c>
      <c r="Z258" s="2" t="inlineStr">
        <is>
          <t>Hoàn tất kết quả gốc: Hướng dẫn cài đặt và chạy project.</t>
        </is>
      </c>
      <c r="AA258" s="2" t="inlineStr">
        <is>
          <t>Kết quả gốc được kiểm tra và có bằng chứng gắn với CIN-SUB-257; ngoại lệ được ghi rõ.</t>
        </is>
      </c>
      <c r="AB258" s="2" t="inlineStr">
        <is>
          <t>Planned</t>
        </is>
      </c>
      <c r="AC258" s="2" t="inlineStr">
        <is>
          <t>Planned only; no completion evidence was transferred.</t>
        </is>
      </c>
    </row>
    <row r="259">
      <c r="A259" s="2" t="inlineStr">
        <is>
          <t>ORIG-258</t>
        </is>
      </c>
      <c r="B259" s="2" t="n">
        <v>259</v>
      </c>
      <c r="C259" s="2" t="inlineStr">
        <is>
          <t>Documentation</t>
        </is>
      </c>
      <c r="D259" s="2" t="n"/>
      <c r="E259" s="2" t="inlineStr">
        <is>
          <t>Architecture Documentation</t>
        </is>
      </c>
      <c r="F259" s="2" t="inlineStr">
        <is>
          <t>Mô tả kiến trúc</t>
        </is>
      </c>
      <c r="G259" s="2" t="inlineStr">
        <is>
          <t>Bắt buộc</t>
        </is>
      </c>
      <c r="H259" s="2" t="inlineStr">
        <is>
          <t>Sprint 2</t>
        </is>
      </c>
      <c r="I259" s="2" t="inlineStr">
        <is>
          <t>README và tài liệu bàn giao cần cập nhật xuyên suốt; hoàn thiện cuối kỳ.</t>
        </is>
      </c>
      <c r="J259" s="2" t="inlineStr">
        <is>
          <t>PH-02</t>
        </is>
      </c>
      <c r="K259" s="2" t="inlineStr">
        <is>
          <t>Solution Design &amp; Foundations</t>
        </is>
      </c>
      <c r="L259" s="2" t="inlineStr">
        <is>
          <t>CIN-T-042</t>
        </is>
      </c>
      <c r="M259" s="2" t="inlineStr">
        <is>
          <t>Tạo README và tài liệu kiến trúc/database ban đầu</t>
        </is>
      </c>
      <c r="N259" s="2" t="inlineStr">
        <is>
          <t>24120271</t>
        </is>
      </c>
      <c r="O259" s="2" t="inlineStr">
        <is>
          <t>Nguyen Trung Chinh</t>
        </is>
      </c>
      <c r="P259" s="2" t="inlineStr">
        <is>
          <t>CIN-SUB-258</t>
        </is>
      </c>
      <c r="Q259" s="2" t="inlineStr">
        <is>
          <t>Sprint 2</t>
        </is>
      </c>
      <c r="R259" s="2" t="inlineStr">
        <is>
          <t>24120244</t>
        </is>
      </c>
      <c r="S259" s="2" t="inlineStr">
        <is>
          <t>Phan Van Viet</t>
        </is>
      </c>
      <c r="T259" s="3" t="n">
        <v>46312</v>
      </c>
      <c r="U259" s="3" t="n">
        <v>46325</v>
      </c>
      <c r="V259" s="2" t="n">
        <v>2</v>
      </c>
      <c r="W259" s="2" t="inlineStr">
        <is>
          <t>Medium</t>
        </is>
      </c>
      <c r="X259" s="2" t="inlineStr">
        <is>
          <t>Documentation</t>
        </is>
      </c>
      <c r="Y259" s="2" t="inlineStr">
        <is>
          <t>CIN-T-007, CIN-T-003</t>
        </is>
      </c>
      <c r="Z259" s="2" t="inlineStr">
        <is>
          <t>Hoàn tất kết quả gốc: Mô tả kiến trúc.</t>
        </is>
      </c>
      <c r="AA259" s="2" t="inlineStr">
        <is>
          <t>Kết quả gốc được kiểm tra và có bằng chứng gắn với CIN-SUB-258; ngoại lệ được ghi rõ.</t>
        </is>
      </c>
      <c r="AB259" s="2" t="inlineStr">
        <is>
          <t>Planned</t>
        </is>
      </c>
      <c r="AC259" s="2" t="inlineStr">
        <is>
          <t>Planned only; no completion evidence was transferred.</t>
        </is>
      </c>
    </row>
    <row r="260">
      <c r="A260" s="2" t="inlineStr">
        <is>
          <t>ORIG-259</t>
        </is>
      </c>
      <c r="B260" s="2" t="n">
        <v>260</v>
      </c>
      <c r="C260" s="2" t="inlineStr">
        <is>
          <t>Documentation</t>
        </is>
      </c>
      <c r="D260" s="2" t="n"/>
      <c r="E260" s="2" t="inlineStr">
        <is>
          <t>Database Documentation</t>
        </is>
      </c>
      <c r="F260" s="2" t="inlineStr">
        <is>
          <t>ERD + mô tả bảng</t>
        </is>
      </c>
      <c r="G260" s="2" t="inlineStr">
        <is>
          <t>Bắt buộc</t>
        </is>
      </c>
      <c r="H260" s="2" t="inlineStr">
        <is>
          <t>Sprint 2</t>
        </is>
      </c>
      <c r="I260" s="2" t="inlineStr">
        <is>
          <t>README và tài liệu bàn giao cần cập nhật xuyên suốt; hoàn thiện cuối kỳ.</t>
        </is>
      </c>
      <c r="J260" s="2" t="inlineStr">
        <is>
          <t>PH-02</t>
        </is>
      </c>
      <c r="K260" s="2" t="inlineStr">
        <is>
          <t>Solution Design &amp; Foundations</t>
        </is>
      </c>
      <c r="L260" s="2" t="inlineStr">
        <is>
          <t>CIN-T-042</t>
        </is>
      </c>
      <c r="M260" s="2" t="inlineStr">
        <is>
          <t>Tạo README và tài liệu kiến trúc/database ban đầu</t>
        </is>
      </c>
      <c r="N260" s="2" t="inlineStr">
        <is>
          <t>24120271</t>
        </is>
      </c>
      <c r="O260" s="2" t="inlineStr">
        <is>
          <t>Nguyen Trung Chinh</t>
        </is>
      </c>
      <c r="P260" s="2" t="inlineStr">
        <is>
          <t>CIN-SUB-259</t>
        </is>
      </c>
      <c r="Q260" s="2" t="inlineStr">
        <is>
          <t>Sprint 2</t>
        </is>
      </c>
      <c r="R260" s="2" t="inlineStr">
        <is>
          <t>24120271</t>
        </is>
      </c>
      <c r="S260" s="2" t="inlineStr">
        <is>
          <t>Nguyen Trung Chinh</t>
        </is>
      </c>
      <c r="T260" s="3" t="n">
        <v>46312</v>
      </c>
      <c r="U260" s="3" t="n">
        <v>46325</v>
      </c>
      <c r="V260" s="2" t="n">
        <v>3</v>
      </c>
      <c r="W260" s="2" t="inlineStr">
        <is>
          <t>Medium</t>
        </is>
      </c>
      <c r="X260" s="2" t="inlineStr">
        <is>
          <t>Documentation</t>
        </is>
      </c>
      <c r="Y260" s="2" t="inlineStr">
        <is>
          <t>CIN-T-007, CIN-T-003</t>
        </is>
      </c>
      <c r="Z260" s="2" t="inlineStr">
        <is>
          <t>Hoàn tất kết quả gốc: ERD + mô tả bảng.</t>
        </is>
      </c>
      <c r="AA260" s="2" t="inlineStr">
        <is>
          <t>Kết quả gốc được kiểm tra và có bằng chứng gắn với CIN-SUB-259; ngoại lệ được ghi rõ.</t>
        </is>
      </c>
      <c r="AB260" s="2" t="inlineStr">
        <is>
          <t>Planned</t>
        </is>
      </c>
      <c r="AC260" s="2" t="inlineStr">
        <is>
          <t>Planned only; no completion evidence was transferred.</t>
        </is>
      </c>
    </row>
    <row r="261">
      <c r="A261" s="2" t="inlineStr">
        <is>
          <t>ORIG-260</t>
        </is>
      </c>
      <c r="B261" s="2" t="n">
        <v>261</v>
      </c>
      <c r="C261" s="2" t="inlineStr">
        <is>
          <t>Documentation</t>
        </is>
      </c>
      <c r="D261" s="2" t="n"/>
      <c r="E261" s="2" t="inlineStr">
        <is>
          <t>API Documentation</t>
        </is>
      </c>
      <c r="F261" s="2" t="inlineStr">
        <is>
          <t>Swagger / API specification</t>
        </is>
      </c>
      <c r="G261" s="2" t="inlineStr">
        <is>
          <t>Bắt buộc</t>
        </is>
      </c>
      <c r="H261" s="2" t="inlineStr">
        <is>
          <t>Sprint 3</t>
        </is>
      </c>
      <c r="I261" s="2" t="inlineStr">
        <is>
          <t>README và tài liệu bàn giao cần cập nhật xuyên suốt; hoàn thiện cuối kỳ.</t>
        </is>
      </c>
      <c r="J261" s="2" t="inlineStr">
        <is>
          <t>PH-03</t>
        </is>
      </c>
      <c r="K261" s="2" t="inlineStr">
        <is>
          <t>Core Product Build</t>
        </is>
      </c>
      <c r="L261" s="2" t="inlineStr">
        <is>
          <t>CIN-T-043</t>
        </is>
      </c>
      <c r="M261" s="2" t="inlineStr">
        <is>
          <t>Hoàn thiện API và environment documentation</t>
        </is>
      </c>
      <c r="N261" s="2" t="inlineStr">
        <is>
          <t>24120235</t>
        </is>
      </c>
      <c r="O261" s="2" t="inlineStr">
        <is>
          <t>Huynh Thanh Tu</t>
        </is>
      </c>
      <c r="P261" s="2" t="inlineStr">
        <is>
          <t>CIN-SUB-260</t>
        </is>
      </c>
      <c r="Q261" s="2" t="inlineStr">
        <is>
          <t>Sprint 3</t>
        </is>
      </c>
      <c r="R261" s="2" t="inlineStr">
        <is>
          <t>24120235</t>
        </is>
      </c>
      <c r="S261" s="2" t="inlineStr">
        <is>
          <t>Huynh Thanh Tu</t>
        </is>
      </c>
      <c r="T261" s="3" t="n">
        <v>46326</v>
      </c>
      <c r="U261" s="3" t="n">
        <v>46339</v>
      </c>
      <c r="V261" s="2" t="n">
        <v>3</v>
      </c>
      <c r="W261" s="2" t="inlineStr">
        <is>
          <t>Medium</t>
        </is>
      </c>
      <c r="X261" s="2" t="inlineStr">
        <is>
          <t>Documentation</t>
        </is>
      </c>
      <c r="Y261" s="2" t="inlineStr">
        <is>
          <t>CIN-T-014, CIN-T-037</t>
        </is>
      </c>
      <c r="Z261" s="2" t="inlineStr">
        <is>
          <t>Hoàn tất kết quả gốc: Swagger / API specification.</t>
        </is>
      </c>
      <c r="AA261" s="2" t="inlineStr">
        <is>
          <t>Kết quả gốc được kiểm tra và có bằng chứng gắn với CIN-SUB-260; ngoại lệ được ghi rõ.</t>
        </is>
      </c>
      <c r="AB261" s="2" t="inlineStr">
        <is>
          <t>Planned</t>
        </is>
      </c>
      <c r="AC261" s="2" t="inlineStr">
        <is>
          <t>Planned only; no completion evidence was transferred. Confirm that limited foundation coding is allowed before PA3 design baseline.</t>
        </is>
      </c>
    </row>
    <row r="262">
      <c r="A262" s="2" t="inlineStr">
        <is>
          <t>ORIG-261</t>
        </is>
      </c>
      <c r="B262" s="2" t="n">
        <v>262</v>
      </c>
      <c r="C262" s="2" t="inlineStr">
        <is>
          <t>Documentation</t>
        </is>
      </c>
      <c r="D262" s="2" t="n"/>
      <c r="E262" s="2" t="inlineStr">
        <is>
          <t>Deployment Documentation</t>
        </is>
      </c>
      <c r="F262" s="2" t="inlineStr">
        <is>
          <t>Hướng dẫn deploy</t>
        </is>
      </c>
      <c r="G262" s="2" t="inlineStr">
        <is>
          <t>Bắt buộc</t>
        </is>
      </c>
      <c r="H262" s="2" t="inlineStr">
        <is>
          <t>Sprint 5</t>
        </is>
      </c>
      <c r="I262" s="2" t="inlineStr">
        <is>
          <t>README và tài liệu bàn giao cần cập nhật xuyên suốt; hoàn thiện cuối kỳ.</t>
        </is>
      </c>
      <c r="J262" s="2" t="inlineStr">
        <is>
          <t>PH-04</t>
        </is>
      </c>
      <c r="K262" s="2" t="inlineStr">
        <is>
          <t>Release, Verification &amp; Handover</t>
        </is>
      </c>
      <c r="L262" s="2" t="inlineStr">
        <is>
          <t>CIN-T-044</t>
        </is>
      </c>
      <c r="M262" s="2" t="inlineStr">
        <is>
          <t>Hoàn thiện hướng dẫn triển khai và sử dụng</t>
        </is>
      </c>
      <c r="N262" s="2" t="inlineStr">
        <is>
          <t>24120255</t>
        </is>
      </c>
      <c r="O262" s="2" t="inlineStr">
        <is>
          <t>Tran Thien An</t>
        </is>
      </c>
      <c r="P262" s="2" t="inlineStr">
        <is>
          <t>CIN-SUB-261</t>
        </is>
      </c>
      <c r="Q262" s="2" t="inlineStr">
        <is>
          <t>Sprint 5</t>
        </is>
      </c>
      <c r="R262" s="2" t="inlineStr">
        <is>
          <t>24120255</t>
        </is>
      </c>
      <c r="S262" s="2" t="inlineStr">
        <is>
          <t>Tran Thien An</t>
        </is>
      </c>
      <c r="T262" s="3" t="n">
        <v>46354</v>
      </c>
      <c r="U262" s="3" t="n">
        <v>46368</v>
      </c>
      <c r="V262" s="2" t="n">
        <v>3</v>
      </c>
      <c r="W262" s="2" t="inlineStr">
        <is>
          <t>Medium</t>
        </is>
      </c>
      <c r="X262" s="2" t="inlineStr">
        <is>
          <t>Documentation</t>
        </is>
      </c>
      <c r="Y262" s="2" t="inlineStr">
        <is>
          <t>CIN-T-039, CIN-T-028</t>
        </is>
      </c>
      <c r="Z262" s="2" t="inlineStr">
        <is>
          <t>Hoàn tất kết quả gốc: Hướng dẫn deploy.</t>
        </is>
      </c>
      <c r="AA262" s="2" t="inlineStr">
        <is>
          <t>Kết quả gốc được kiểm tra và có bằng chứng gắn với CIN-SUB-261; ngoại lệ được ghi rõ.</t>
        </is>
      </c>
      <c r="AB262" s="2" t="inlineStr">
        <is>
          <t>Planned</t>
        </is>
      </c>
      <c r="AC262" s="2" t="inlineStr">
        <is>
          <t>Planned only; no completion evidence was transferred.</t>
        </is>
      </c>
    </row>
    <row r="263">
      <c r="A263" s="2" t="inlineStr">
        <is>
          <t>ORIG-262</t>
        </is>
      </c>
      <c r="B263" s="2" t="n">
        <v>263</v>
      </c>
      <c r="C263" s="2" t="inlineStr">
        <is>
          <t>Documentation</t>
        </is>
      </c>
      <c r="D263" s="2" t="n"/>
      <c r="E263" s="2" t="inlineStr">
        <is>
          <t>Environment Documentation</t>
        </is>
      </c>
      <c r="F263" s="2" t="inlineStr">
        <is>
          <t>Các biến môi trường cần thiết</t>
        </is>
      </c>
      <c r="G263" s="2" t="inlineStr">
        <is>
          <t>Bắt buộc</t>
        </is>
      </c>
      <c r="H263" s="2" t="inlineStr">
        <is>
          <t>Sprint 3</t>
        </is>
      </c>
      <c r="I263" s="2" t="inlineStr">
        <is>
          <t>README và tài liệu bàn giao cần cập nhật xuyên suốt; hoàn thiện cuối kỳ.</t>
        </is>
      </c>
      <c r="J263" s="2" t="inlineStr">
        <is>
          <t>PH-03</t>
        </is>
      </c>
      <c r="K263" s="2" t="inlineStr">
        <is>
          <t>Core Product Build</t>
        </is>
      </c>
      <c r="L263" s="2" t="inlineStr">
        <is>
          <t>CIN-T-043</t>
        </is>
      </c>
      <c r="M263" s="2" t="inlineStr">
        <is>
          <t>Hoàn thiện API và environment documentation</t>
        </is>
      </c>
      <c r="N263" s="2" t="inlineStr">
        <is>
          <t>24120235</t>
        </is>
      </c>
      <c r="O263" s="2" t="inlineStr">
        <is>
          <t>Huynh Thanh Tu</t>
        </is>
      </c>
      <c r="P263" s="2" t="inlineStr">
        <is>
          <t>CIN-SUB-262</t>
        </is>
      </c>
      <c r="Q263" s="2" t="inlineStr">
        <is>
          <t>Sprint 3</t>
        </is>
      </c>
      <c r="R263" s="2" t="inlineStr">
        <is>
          <t>24120271</t>
        </is>
      </c>
      <c r="S263" s="2" t="inlineStr">
        <is>
          <t>Nguyen Trung Chinh</t>
        </is>
      </c>
      <c r="T263" s="3" t="n">
        <v>46326</v>
      </c>
      <c r="U263" s="3" t="n">
        <v>46339</v>
      </c>
      <c r="V263" s="2" t="n">
        <v>2</v>
      </c>
      <c r="W263" s="2" t="inlineStr">
        <is>
          <t>Medium</t>
        </is>
      </c>
      <c r="X263" s="2" t="inlineStr">
        <is>
          <t>Documentation</t>
        </is>
      </c>
      <c r="Y263" s="2" t="inlineStr">
        <is>
          <t>CIN-T-014, CIN-T-037</t>
        </is>
      </c>
      <c r="Z263" s="2" t="inlineStr">
        <is>
          <t>Hoàn tất kết quả gốc: Các biến môi trường cần thiết.</t>
        </is>
      </c>
      <c r="AA263" s="2" t="inlineStr">
        <is>
          <t>Kết quả gốc được kiểm tra và có bằng chứng gắn với CIN-SUB-262; ngoại lệ được ghi rõ.</t>
        </is>
      </c>
      <c r="AB263" s="2" t="inlineStr">
        <is>
          <t>Planned</t>
        </is>
      </c>
      <c r="AC263" s="2" t="inlineStr">
        <is>
          <t>Planned only; no completion evidence was transferred. Confirm that limited foundation coding is allowed before PA3 design baseline.</t>
        </is>
      </c>
    </row>
    <row r="264">
      <c r="A264" s="2" t="inlineStr">
        <is>
          <t>ORIG-263</t>
        </is>
      </c>
      <c r="B264" s="2" t="n">
        <v>264</v>
      </c>
      <c r="C264" s="2" t="inlineStr">
        <is>
          <t>Documentation</t>
        </is>
      </c>
      <c r="D264" s="2" t="n"/>
      <c r="E264" s="2" t="inlineStr">
        <is>
          <t>User Guide</t>
        </is>
      </c>
      <c r="F264" s="2" t="inlineStr">
        <is>
          <t>Hướng dẫn sử dụng cho Customer / Staff / Admin</t>
        </is>
      </c>
      <c r="G264" s="2" t="inlineStr">
        <is>
          <t>Bắt buộc</t>
        </is>
      </c>
      <c r="H264" s="2" t="inlineStr">
        <is>
          <t>Sprint 5</t>
        </is>
      </c>
      <c r="I264" s="2" t="inlineStr">
        <is>
          <t>README và tài liệu bàn giao cần cập nhật xuyên suốt; hoàn thiện cuối kỳ.</t>
        </is>
      </c>
      <c r="J264" s="2" t="inlineStr">
        <is>
          <t>PH-04</t>
        </is>
      </c>
      <c r="K264" s="2" t="inlineStr">
        <is>
          <t>Release, Verification &amp; Handover</t>
        </is>
      </c>
      <c r="L264" s="2" t="inlineStr">
        <is>
          <t>CIN-T-044</t>
        </is>
      </c>
      <c r="M264" s="2" t="inlineStr">
        <is>
          <t>Hoàn thiện hướng dẫn triển khai và sử dụng</t>
        </is>
      </c>
      <c r="N264" s="2" t="inlineStr">
        <is>
          <t>24120255</t>
        </is>
      </c>
      <c r="O264" s="2" t="inlineStr">
        <is>
          <t>Tran Thien An</t>
        </is>
      </c>
      <c r="P264" s="2" t="inlineStr">
        <is>
          <t>CIN-SUB-263</t>
        </is>
      </c>
      <c r="Q264" s="2" t="inlineStr">
        <is>
          <t>Sprint 5</t>
        </is>
      </c>
      <c r="R264" s="2" t="inlineStr">
        <is>
          <t>24120098</t>
        </is>
      </c>
      <c r="S264" s="2" t="inlineStr">
        <is>
          <t>Nguyen Quoc Nam</t>
        </is>
      </c>
      <c r="T264" s="3" t="n">
        <v>46354</v>
      </c>
      <c r="U264" s="3" t="n">
        <v>46368</v>
      </c>
      <c r="V264" s="2" t="n">
        <v>2</v>
      </c>
      <c r="W264" s="2" t="inlineStr">
        <is>
          <t>Medium</t>
        </is>
      </c>
      <c r="X264" s="2" t="inlineStr">
        <is>
          <t>Documentation</t>
        </is>
      </c>
      <c r="Y264" s="2" t="inlineStr">
        <is>
          <t>CIN-T-039, CIN-T-028</t>
        </is>
      </c>
      <c r="Z264" s="2" t="inlineStr">
        <is>
          <t>Hoàn tất kết quả gốc: Hướng dẫn sử dụng cho Customer / Staff / Admin.</t>
        </is>
      </c>
      <c r="AA264" s="2" t="inlineStr">
        <is>
          <t>Kết quả gốc được kiểm tra và có bằng chứng gắn với CIN-SUB-263; ngoại lệ được ghi rõ.</t>
        </is>
      </c>
      <c r="AB264" s="2" t="inlineStr">
        <is>
          <t>Planned</t>
        </is>
      </c>
      <c r="AC264" s="2" t="inlineStr">
        <is>
          <t>Planned only; no completion evidence was transferred.</t>
        </is>
      </c>
    </row>
    <row r="265">
      <c r="A265" s="2" t="inlineStr">
        <is>
          <t>ORIG-264</t>
        </is>
      </c>
      <c r="B265" s="2" t="n">
        <v>265</v>
      </c>
      <c r="C265" s="2" t="inlineStr">
        <is>
          <t>Final Integration</t>
        </is>
      </c>
      <c r="D265" s="2" t="inlineStr">
        <is>
          <t>Ghép toàn hệ thống</t>
        </is>
      </c>
      <c r="E265" s="2" t="inlineStr">
        <is>
          <t>Merge toàn bộ module</t>
        </is>
      </c>
      <c r="F265" s="2" t="inlineStr">
        <is>
          <t>Backend + Frontend + Database</t>
        </is>
      </c>
      <c r="G265" s="2" t="inlineStr">
        <is>
          <t>Bắt buộc</t>
        </is>
      </c>
      <c r="H265" s="2" t="inlineStr">
        <is>
          <t>Sprint 5</t>
        </is>
      </c>
      <c r="I265" s="2" t="inlineStr">
        <is>
          <t>Tích hợp toàn hệ thống và kiểm tra luồng chính trước demo.</t>
        </is>
      </c>
      <c r="J265" s="2" t="inlineStr">
        <is>
          <t>PH-04</t>
        </is>
      </c>
      <c r="K265" s="2" t="inlineStr">
        <is>
          <t>Release, Verification &amp; Handover</t>
        </is>
      </c>
      <c r="L265" s="2" t="inlineStr">
        <is>
          <t>CIN-T-045</t>
        </is>
      </c>
      <c r="M265" s="2" t="inlineStr">
        <is>
          <t>Tích hợp toàn hệ thống và xử lý lỗi release</t>
        </is>
      </c>
      <c r="N265" s="2" t="inlineStr">
        <is>
          <t>24120244</t>
        </is>
      </c>
      <c r="O265" s="2" t="inlineStr">
        <is>
          <t>Phan Van Viet</t>
        </is>
      </c>
      <c r="P265" s="2" t="inlineStr">
        <is>
          <t>CIN-SUB-264</t>
        </is>
      </c>
      <c r="Q265" s="2" t="inlineStr">
        <is>
          <t>Sprint 5</t>
        </is>
      </c>
      <c r="R265" s="2" t="inlineStr">
        <is>
          <t>24120244</t>
        </is>
      </c>
      <c r="S265" s="2" t="inlineStr">
        <is>
          <t>Phan Van Viet</t>
        </is>
      </c>
      <c r="T265" s="3" t="n">
        <v>46354</v>
      </c>
      <c r="U265" s="3" t="n">
        <v>46368</v>
      </c>
      <c r="V265" s="2" t="n">
        <v>3</v>
      </c>
      <c r="W265" s="2" t="inlineStr">
        <is>
          <t>High</t>
        </is>
      </c>
      <c r="X265" s="2" t="inlineStr">
        <is>
          <t>Integration / Release</t>
        </is>
      </c>
      <c r="Y265" s="2" t="inlineStr">
        <is>
          <t>CIN-T-027, CIN-T-035, CIN-T-028, CIN-T-039</t>
        </is>
      </c>
      <c r="Z265" s="2" t="inlineStr">
        <is>
          <t>Hoàn tất kết quả gốc: Backend + Frontend + Database.</t>
        </is>
      </c>
      <c r="AA265" s="2" t="inlineStr">
        <is>
          <t>Kết quả gốc được kiểm tra và có bằng chứng gắn với CIN-SUB-264; ngoại lệ được ghi rõ.</t>
        </is>
      </c>
      <c r="AB265" s="2" t="inlineStr">
        <is>
          <t>Planned</t>
        </is>
      </c>
      <c r="AC265" s="2" t="inlineStr">
        <is>
          <t>Planned only; no completion evidence was transferred.</t>
        </is>
      </c>
    </row>
    <row r="266">
      <c r="A266" s="2" t="inlineStr">
        <is>
          <t>ORIG-265</t>
        </is>
      </c>
      <c r="B266" s="2" t="n">
        <v>266</v>
      </c>
      <c r="C266" s="2" t="inlineStr">
        <is>
          <t>Final Integration</t>
        </is>
      </c>
      <c r="D266" s="2" t="n"/>
      <c r="E266" s="2" t="inlineStr">
        <is>
          <t>Kiểm tra API Integration</t>
        </is>
      </c>
      <c r="F266" s="2" t="inlineStr">
        <is>
          <t>Toàn bộ Frontend gọi đúng Backend</t>
        </is>
      </c>
      <c r="G266" s="2" t="inlineStr">
        <is>
          <t>Bắt buộc</t>
        </is>
      </c>
      <c r="H266" s="2" t="inlineStr">
        <is>
          <t>Sprint 5</t>
        </is>
      </c>
      <c r="I266" s="2" t="inlineStr">
        <is>
          <t>Tích hợp toàn hệ thống và kiểm tra luồng chính trước demo.</t>
        </is>
      </c>
      <c r="J266" s="2" t="inlineStr">
        <is>
          <t>PH-04</t>
        </is>
      </c>
      <c r="K266" s="2" t="inlineStr">
        <is>
          <t>Release, Verification &amp; Handover</t>
        </is>
      </c>
      <c r="L266" s="2" t="inlineStr">
        <is>
          <t>CIN-T-045</t>
        </is>
      </c>
      <c r="M266" s="2" t="inlineStr">
        <is>
          <t>Tích hợp toàn hệ thống và xử lý lỗi release</t>
        </is>
      </c>
      <c r="N266" s="2" t="inlineStr">
        <is>
          <t>24120244</t>
        </is>
      </c>
      <c r="O266" s="2" t="inlineStr">
        <is>
          <t>Phan Van Viet</t>
        </is>
      </c>
      <c r="P266" s="2" t="inlineStr">
        <is>
          <t>CIN-SUB-265</t>
        </is>
      </c>
      <c r="Q266" s="2" t="inlineStr">
        <is>
          <t>Sprint 5</t>
        </is>
      </c>
      <c r="R266" s="2" t="inlineStr">
        <is>
          <t>24120271</t>
        </is>
      </c>
      <c r="S266" s="2" t="inlineStr">
        <is>
          <t>Nguyen Trung Chinh</t>
        </is>
      </c>
      <c r="T266" s="3" t="n">
        <v>46354</v>
      </c>
      <c r="U266" s="3" t="n">
        <v>46368</v>
      </c>
      <c r="V266" s="2" t="n">
        <v>3</v>
      </c>
      <c r="W266" s="2" t="inlineStr">
        <is>
          <t>High</t>
        </is>
      </c>
      <c r="X266" s="2" t="inlineStr">
        <is>
          <t>Integration / Release</t>
        </is>
      </c>
      <c r="Y266" s="2" t="inlineStr">
        <is>
          <t>CIN-T-027, CIN-T-035, CIN-T-028, CIN-T-039</t>
        </is>
      </c>
      <c r="Z266" s="2" t="inlineStr">
        <is>
          <t>Hoàn tất kết quả gốc: Toàn bộ Frontend gọi đúng Backend.</t>
        </is>
      </c>
      <c r="AA266" s="2" t="inlineStr">
        <is>
          <t>Kết quả gốc được kiểm tra và có bằng chứng gắn với CIN-SUB-265; ngoại lệ được ghi rõ.</t>
        </is>
      </c>
      <c r="AB266" s="2" t="inlineStr">
        <is>
          <t>Planned</t>
        </is>
      </c>
      <c r="AC266" s="2" t="inlineStr">
        <is>
          <t>Planned only; no completion evidence was transferred.</t>
        </is>
      </c>
    </row>
    <row r="267">
      <c r="A267" s="2" t="inlineStr">
        <is>
          <t>ORIG-266</t>
        </is>
      </c>
      <c r="B267" s="2" t="n">
        <v>267</v>
      </c>
      <c r="C267" s="2" t="inlineStr">
        <is>
          <t>Final Integration</t>
        </is>
      </c>
      <c r="D267" s="2" t="n"/>
      <c r="E267" s="2" t="inlineStr">
        <is>
          <t>Kiểm tra Authentication</t>
        </is>
      </c>
      <c r="F267" s="2" t="inlineStr">
        <is>
          <t>Login + Role + Authorization</t>
        </is>
      </c>
      <c r="G267" s="2" t="inlineStr">
        <is>
          <t>Bắt buộc</t>
        </is>
      </c>
      <c r="H267" s="2" t="inlineStr">
        <is>
          <t>Sprint 5</t>
        </is>
      </c>
      <c r="I267" s="2" t="inlineStr">
        <is>
          <t>Tích hợp toàn hệ thống và kiểm tra luồng chính trước demo.</t>
        </is>
      </c>
      <c r="J267" s="2" t="inlineStr">
        <is>
          <t>PH-04</t>
        </is>
      </c>
      <c r="K267" s="2" t="inlineStr">
        <is>
          <t>Release, Verification &amp; Handover</t>
        </is>
      </c>
      <c r="L267" s="2" t="inlineStr">
        <is>
          <t>CIN-T-045</t>
        </is>
      </c>
      <c r="M267" s="2" t="inlineStr">
        <is>
          <t>Tích hợp toàn hệ thống và xử lý lỗi release</t>
        </is>
      </c>
      <c r="N267" s="2" t="inlineStr">
        <is>
          <t>24120244</t>
        </is>
      </c>
      <c r="O267" s="2" t="inlineStr">
        <is>
          <t>Phan Van Viet</t>
        </is>
      </c>
      <c r="P267" s="2" t="inlineStr">
        <is>
          <t>CIN-SUB-266</t>
        </is>
      </c>
      <c r="Q267" s="2" t="inlineStr">
        <is>
          <t>Sprint 5</t>
        </is>
      </c>
      <c r="R267" s="2" t="inlineStr">
        <is>
          <t>24120098</t>
        </is>
      </c>
      <c r="S267" s="2" t="inlineStr">
        <is>
          <t>Nguyen Quoc Nam</t>
        </is>
      </c>
      <c r="T267" s="3" t="n">
        <v>46354</v>
      </c>
      <c r="U267" s="3" t="n">
        <v>46368</v>
      </c>
      <c r="V267" s="2" t="n">
        <v>3</v>
      </c>
      <c r="W267" s="2" t="inlineStr">
        <is>
          <t>High</t>
        </is>
      </c>
      <c r="X267" s="2" t="inlineStr">
        <is>
          <t>Integration / Release</t>
        </is>
      </c>
      <c r="Y267" s="2" t="inlineStr">
        <is>
          <t>CIN-T-027, CIN-T-035, CIN-T-028, CIN-T-039</t>
        </is>
      </c>
      <c r="Z267" s="2" t="inlineStr">
        <is>
          <t>Hoàn tất kết quả gốc: Login + Role + Authorization.</t>
        </is>
      </c>
      <c r="AA267" s="2" t="inlineStr">
        <is>
          <t>Kết quả gốc được kiểm tra và có bằng chứng gắn với CIN-SUB-266; ngoại lệ được ghi rõ.</t>
        </is>
      </c>
      <c r="AB267" s="2" t="inlineStr">
        <is>
          <t>Planned</t>
        </is>
      </c>
      <c r="AC267" s="2" t="inlineStr">
        <is>
          <t>Planned only; no completion evidence was transferred.</t>
        </is>
      </c>
    </row>
    <row r="268">
      <c r="A268" s="2" t="inlineStr">
        <is>
          <t>ORIG-267</t>
        </is>
      </c>
      <c r="B268" s="2" t="n">
        <v>268</v>
      </c>
      <c r="C268" s="2" t="inlineStr">
        <is>
          <t>Final Integration</t>
        </is>
      </c>
      <c r="D268" s="2" t="n"/>
      <c r="E268" s="2" t="inlineStr">
        <is>
          <t>Kiểm tra Booking Flow</t>
        </is>
      </c>
      <c r="F268" s="2" t="inlineStr">
        <is>
          <t>Movie → Showtime → Seat → Booking → Payment → Ticket</t>
        </is>
      </c>
      <c r="G268" s="2" t="inlineStr">
        <is>
          <t>Bắt buộc</t>
        </is>
      </c>
      <c r="H268" s="2" t="inlineStr">
        <is>
          <t>Sprint 5</t>
        </is>
      </c>
      <c r="I268" s="2" t="inlineStr">
        <is>
          <t>Tích hợp toàn hệ thống và kiểm tra luồng chính trước demo.</t>
        </is>
      </c>
      <c r="J268" s="2" t="inlineStr">
        <is>
          <t>PH-04</t>
        </is>
      </c>
      <c r="K268" s="2" t="inlineStr">
        <is>
          <t>Release, Verification &amp; Handover</t>
        </is>
      </c>
      <c r="L268" s="2" t="inlineStr">
        <is>
          <t>CIN-T-045</t>
        </is>
      </c>
      <c r="M268" s="2" t="inlineStr">
        <is>
          <t>Tích hợp toàn hệ thống và xử lý lỗi release</t>
        </is>
      </c>
      <c r="N268" s="2" t="inlineStr">
        <is>
          <t>24120244</t>
        </is>
      </c>
      <c r="O268" s="2" t="inlineStr">
        <is>
          <t>Phan Van Viet</t>
        </is>
      </c>
      <c r="P268" s="2" t="inlineStr">
        <is>
          <t>CIN-SUB-267</t>
        </is>
      </c>
      <c r="Q268" s="2" t="inlineStr">
        <is>
          <t>Sprint 5</t>
        </is>
      </c>
      <c r="R268" s="2" t="inlineStr">
        <is>
          <t>24120235</t>
        </is>
      </c>
      <c r="S268" s="2" t="inlineStr">
        <is>
          <t>Huynh Thanh Tu</t>
        </is>
      </c>
      <c r="T268" s="3" t="n">
        <v>46354</v>
      </c>
      <c r="U268" s="3" t="n">
        <v>46368</v>
      </c>
      <c r="V268" s="2" t="n">
        <v>3</v>
      </c>
      <c r="W268" s="2" t="inlineStr">
        <is>
          <t>High</t>
        </is>
      </c>
      <c r="X268" s="2" t="inlineStr">
        <is>
          <t>Integration / Release</t>
        </is>
      </c>
      <c r="Y268" s="2" t="inlineStr">
        <is>
          <t>CIN-T-027, CIN-T-035, CIN-T-028, CIN-T-039</t>
        </is>
      </c>
      <c r="Z268" s="2" t="inlineStr">
        <is>
          <t>Hoàn tất kết quả gốc: Movie → Showtime → Seat → Booking → Payment → Ticket.</t>
        </is>
      </c>
      <c r="AA268" s="2" t="inlineStr">
        <is>
          <t>Kết quả gốc được kiểm tra và có bằng chứng gắn với CIN-SUB-267; ngoại lệ được ghi rõ.</t>
        </is>
      </c>
      <c r="AB268" s="2" t="inlineStr">
        <is>
          <t>Planned</t>
        </is>
      </c>
      <c r="AC268" s="2" t="inlineStr">
        <is>
          <t>Planned only; no completion evidence was transferred.</t>
        </is>
      </c>
    </row>
    <row r="269">
      <c r="A269" s="2" t="inlineStr">
        <is>
          <t>ORIG-268</t>
        </is>
      </c>
      <c r="B269" s="2" t="n">
        <v>269</v>
      </c>
      <c r="C269" s="2" t="inlineStr">
        <is>
          <t>Final Integration</t>
        </is>
      </c>
      <c r="D269" s="2" t="n"/>
      <c r="E269" s="2" t="inlineStr">
        <is>
          <t>Kiểm tra Admin Flow</t>
        </is>
      </c>
      <c r="F269" s="2" t="inlineStr">
        <is>
          <t>Movie → Room → Seat → Showtime → Booking</t>
        </is>
      </c>
      <c r="G269" s="2" t="inlineStr">
        <is>
          <t>Bắt buộc</t>
        </is>
      </c>
      <c r="H269" s="2" t="inlineStr">
        <is>
          <t>Sprint 5</t>
        </is>
      </c>
      <c r="I269" s="2" t="inlineStr">
        <is>
          <t>Tích hợp toàn hệ thống và kiểm tra luồng chính trước demo.</t>
        </is>
      </c>
      <c r="J269" s="2" t="inlineStr">
        <is>
          <t>PH-04</t>
        </is>
      </c>
      <c r="K269" s="2" t="inlineStr">
        <is>
          <t>Release, Verification &amp; Handover</t>
        </is>
      </c>
      <c r="L269" s="2" t="inlineStr">
        <is>
          <t>CIN-T-045</t>
        </is>
      </c>
      <c r="M269" s="2" t="inlineStr">
        <is>
          <t>Tích hợp toàn hệ thống và xử lý lỗi release</t>
        </is>
      </c>
      <c r="N269" s="2" t="inlineStr">
        <is>
          <t>24120244</t>
        </is>
      </c>
      <c r="O269" s="2" t="inlineStr">
        <is>
          <t>Phan Van Viet</t>
        </is>
      </c>
      <c r="P269" s="2" t="inlineStr">
        <is>
          <t>CIN-SUB-268</t>
        </is>
      </c>
      <c r="Q269" s="2" t="inlineStr">
        <is>
          <t>Sprint 5</t>
        </is>
      </c>
      <c r="R269" s="2" t="inlineStr">
        <is>
          <t>24120255</t>
        </is>
      </c>
      <c r="S269" s="2" t="inlineStr">
        <is>
          <t>Tran Thien An</t>
        </is>
      </c>
      <c r="T269" s="3" t="n">
        <v>46354</v>
      </c>
      <c r="U269" s="3" t="n">
        <v>46368</v>
      </c>
      <c r="V269" s="2" t="n">
        <v>3</v>
      </c>
      <c r="W269" s="2" t="inlineStr">
        <is>
          <t>High</t>
        </is>
      </c>
      <c r="X269" s="2" t="inlineStr">
        <is>
          <t>Integration / Release</t>
        </is>
      </c>
      <c r="Y269" s="2" t="inlineStr">
        <is>
          <t>CIN-T-027, CIN-T-035, CIN-T-028, CIN-T-039</t>
        </is>
      </c>
      <c r="Z269" s="2" t="inlineStr">
        <is>
          <t>Hoàn tất kết quả gốc: Movie → Room → Seat → Showtime → Booking.</t>
        </is>
      </c>
      <c r="AA269" s="2" t="inlineStr">
        <is>
          <t>Kết quả gốc được kiểm tra và có bằng chứng gắn với CIN-SUB-268; ngoại lệ được ghi rõ.</t>
        </is>
      </c>
      <c r="AB269" s="2" t="inlineStr">
        <is>
          <t>Planned</t>
        </is>
      </c>
      <c r="AC269" s="2" t="inlineStr">
        <is>
          <t>Planned only; no completion evidence was transferred.</t>
        </is>
      </c>
    </row>
    <row r="270">
      <c r="A270" s="2" t="inlineStr">
        <is>
          <t>ORIG-269</t>
        </is>
      </c>
      <c r="B270" s="2" t="n">
        <v>270</v>
      </c>
      <c r="C270" s="2" t="inlineStr">
        <is>
          <t>Final Integration</t>
        </is>
      </c>
      <c r="D270" s="2" t="n"/>
      <c r="E270" s="2" t="inlineStr">
        <is>
          <t>Kiểm tra Database</t>
        </is>
      </c>
      <c r="F270" s="2" t="inlineStr">
        <is>
          <t>Entity / Migration / Production DB</t>
        </is>
      </c>
      <c r="G270" s="2" t="inlineStr">
        <is>
          <t>Bắt buộc</t>
        </is>
      </c>
      <c r="H270" s="2" t="inlineStr">
        <is>
          <t>Sprint 5</t>
        </is>
      </c>
      <c r="I270" s="2" t="inlineStr">
        <is>
          <t>Tích hợp toàn hệ thống và kiểm tra luồng chính trước demo.</t>
        </is>
      </c>
      <c r="J270" s="2" t="inlineStr">
        <is>
          <t>PH-04</t>
        </is>
      </c>
      <c r="K270" s="2" t="inlineStr">
        <is>
          <t>Release, Verification &amp; Handover</t>
        </is>
      </c>
      <c r="L270" s="2" t="inlineStr">
        <is>
          <t>CIN-T-045</t>
        </is>
      </c>
      <c r="M270" s="2" t="inlineStr">
        <is>
          <t>Tích hợp toàn hệ thống và xử lý lỗi release</t>
        </is>
      </c>
      <c r="N270" s="2" t="inlineStr">
        <is>
          <t>24120244</t>
        </is>
      </c>
      <c r="O270" s="2" t="inlineStr">
        <is>
          <t>Phan Van Viet</t>
        </is>
      </c>
      <c r="P270" s="2" t="inlineStr">
        <is>
          <t>CIN-SUB-269</t>
        </is>
      </c>
      <c r="Q270" s="2" t="inlineStr">
        <is>
          <t>Sprint 5</t>
        </is>
      </c>
      <c r="R270" s="2" t="inlineStr">
        <is>
          <t>24120244</t>
        </is>
      </c>
      <c r="S270" s="2" t="inlineStr">
        <is>
          <t>Phan Van Viet</t>
        </is>
      </c>
      <c r="T270" s="3" t="n">
        <v>46354</v>
      </c>
      <c r="U270" s="3" t="n">
        <v>46368</v>
      </c>
      <c r="V270" s="2" t="n">
        <v>3</v>
      </c>
      <c r="W270" s="2" t="inlineStr">
        <is>
          <t>High</t>
        </is>
      </c>
      <c r="X270" s="2" t="inlineStr">
        <is>
          <t>Integration / Release</t>
        </is>
      </c>
      <c r="Y270" s="2" t="inlineStr">
        <is>
          <t>CIN-T-027, CIN-T-035, CIN-T-028, CIN-T-039</t>
        </is>
      </c>
      <c r="Z270" s="2" t="inlineStr">
        <is>
          <t>Hoàn tất kết quả gốc: Entity / Migration / Production DB.</t>
        </is>
      </c>
      <c r="AA270" s="2" t="inlineStr">
        <is>
          <t>Kết quả gốc được kiểm tra và có bằng chứng gắn với CIN-SUB-269; ngoại lệ được ghi rõ.</t>
        </is>
      </c>
      <c r="AB270" s="2" t="inlineStr">
        <is>
          <t>Planned</t>
        </is>
      </c>
      <c r="AC270" s="2" t="inlineStr">
        <is>
          <t>Planned only; no completion evidence was transferred.</t>
        </is>
      </c>
    </row>
    <row r="271">
      <c r="A271" s="2" t="inlineStr">
        <is>
          <t>ORIG-270</t>
        </is>
      </c>
      <c r="B271" s="2" t="n">
        <v>271</v>
      </c>
      <c r="C271" s="2" t="inlineStr">
        <is>
          <t>Final Integration</t>
        </is>
      </c>
      <c r="D271" s="2" t="n"/>
      <c r="E271" s="2" t="inlineStr">
        <is>
          <t>Kiểm tra Deployment</t>
        </is>
      </c>
      <c r="F271" s="2" t="inlineStr">
        <is>
          <t>Kiểm tra Web App trên production</t>
        </is>
      </c>
      <c r="G271" s="2" t="inlineStr">
        <is>
          <t>Bắt buộc</t>
        </is>
      </c>
      <c r="H271" s="2" t="inlineStr">
        <is>
          <t>Sprint 5</t>
        </is>
      </c>
      <c r="I271" s="2" t="inlineStr">
        <is>
          <t>Tích hợp toàn hệ thống và kiểm tra luồng chính trước demo.</t>
        </is>
      </c>
      <c r="J271" s="2" t="inlineStr">
        <is>
          <t>PH-04</t>
        </is>
      </c>
      <c r="K271" s="2" t="inlineStr">
        <is>
          <t>Release, Verification &amp; Handover</t>
        </is>
      </c>
      <c r="L271" s="2" t="inlineStr">
        <is>
          <t>CIN-T-045</t>
        </is>
      </c>
      <c r="M271" s="2" t="inlineStr">
        <is>
          <t>Tích hợp toàn hệ thống và xử lý lỗi release</t>
        </is>
      </c>
      <c r="N271" s="2" t="inlineStr">
        <is>
          <t>24120244</t>
        </is>
      </c>
      <c r="O271" s="2" t="inlineStr">
        <is>
          <t>Phan Van Viet</t>
        </is>
      </c>
      <c r="P271" s="2" t="inlineStr">
        <is>
          <t>CIN-SUB-270</t>
        </is>
      </c>
      <c r="Q271" s="2" t="inlineStr">
        <is>
          <t>Sprint 5</t>
        </is>
      </c>
      <c r="R271" s="2" t="inlineStr">
        <is>
          <t>24120271</t>
        </is>
      </c>
      <c r="S271" s="2" t="inlineStr">
        <is>
          <t>Nguyen Trung Chinh</t>
        </is>
      </c>
      <c r="T271" s="3" t="n">
        <v>46354</v>
      </c>
      <c r="U271" s="3" t="n">
        <v>46368</v>
      </c>
      <c r="V271" s="2" t="n">
        <v>3</v>
      </c>
      <c r="W271" s="2" t="inlineStr">
        <is>
          <t>High</t>
        </is>
      </c>
      <c r="X271" s="2" t="inlineStr">
        <is>
          <t>Integration / Release</t>
        </is>
      </c>
      <c r="Y271" s="2" t="inlineStr">
        <is>
          <t>CIN-T-027, CIN-T-035, CIN-T-028, CIN-T-039</t>
        </is>
      </c>
      <c r="Z271" s="2" t="inlineStr">
        <is>
          <t>Hoàn tất kết quả gốc: Kiểm tra Web App trên production.</t>
        </is>
      </c>
      <c r="AA271" s="2" t="inlineStr">
        <is>
          <t>Kết quả gốc được kiểm tra và có bằng chứng gắn với CIN-SUB-270; ngoại lệ được ghi rõ.</t>
        </is>
      </c>
      <c r="AB271" s="2" t="inlineStr">
        <is>
          <t>Planned</t>
        </is>
      </c>
      <c r="AC271" s="2" t="inlineStr">
        <is>
          <t>Planned only; no completion evidence was transferred.</t>
        </is>
      </c>
    </row>
    <row r="272">
      <c r="A272" s="2" t="inlineStr">
        <is>
          <t>ORIG-271</t>
        </is>
      </c>
      <c r="B272" s="2" t="n">
        <v>272</v>
      </c>
      <c r="C272" s="2" t="inlineStr">
        <is>
          <t>Final Integration</t>
        </is>
      </c>
      <c r="D272" s="2" t="n"/>
      <c r="E272" s="2" t="inlineStr">
        <is>
          <t>Final Bug Fix</t>
        </is>
      </c>
      <c r="F272" s="2" t="inlineStr">
        <is>
          <t>Sửa lỗi trước khi release</t>
        </is>
      </c>
      <c r="G272" s="2" t="inlineStr">
        <is>
          <t>Bắt buộc</t>
        </is>
      </c>
      <c r="H272" s="2" t="inlineStr">
        <is>
          <t>Sprint 5</t>
        </is>
      </c>
      <c r="I272" s="2" t="inlineStr">
        <is>
          <t>Tích hợp toàn hệ thống và kiểm tra luồng chính trước demo.</t>
        </is>
      </c>
      <c r="J272" s="2" t="inlineStr">
        <is>
          <t>PH-04</t>
        </is>
      </c>
      <c r="K272" s="2" t="inlineStr">
        <is>
          <t>Release, Verification &amp; Handover</t>
        </is>
      </c>
      <c r="L272" s="2" t="inlineStr">
        <is>
          <t>CIN-T-045</t>
        </is>
      </c>
      <c r="M272" s="2" t="inlineStr">
        <is>
          <t>Tích hợp toàn hệ thống và xử lý lỗi release</t>
        </is>
      </c>
      <c r="N272" s="2" t="inlineStr">
        <is>
          <t>24120244</t>
        </is>
      </c>
      <c r="O272" s="2" t="inlineStr">
        <is>
          <t>Phan Van Viet</t>
        </is>
      </c>
      <c r="P272" s="2" t="inlineStr">
        <is>
          <t>CIN-SUB-271</t>
        </is>
      </c>
      <c r="Q272" s="2" t="inlineStr">
        <is>
          <t>Sprint 5</t>
        </is>
      </c>
      <c r="R272" s="2" t="inlineStr">
        <is>
          <t>24120098</t>
        </is>
      </c>
      <c r="S272" s="2" t="inlineStr">
        <is>
          <t>Nguyen Quoc Nam</t>
        </is>
      </c>
      <c r="T272" s="3" t="n">
        <v>46354</v>
      </c>
      <c r="U272" s="3" t="n">
        <v>46368</v>
      </c>
      <c r="V272" s="2" t="n">
        <v>2</v>
      </c>
      <c r="W272" s="2" t="inlineStr">
        <is>
          <t>High</t>
        </is>
      </c>
      <c r="X272" s="2" t="inlineStr">
        <is>
          <t>Integration / Release</t>
        </is>
      </c>
      <c r="Y272" s="2" t="inlineStr">
        <is>
          <t>CIN-T-027, CIN-T-035, CIN-T-028, CIN-T-039</t>
        </is>
      </c>
      <c r="Z272" s="2" t="inlineStr">
        <is>
          <t>Hoàn tất kết quả gốc: Sửa lỗi trước khi release.</t>
        </is>
      </c>
      <c r="AA272" s="2" t="inlineStr">
        <is>
          <t>Kết quả gốc được kiểm tra và có bằng chứng gắn với CIN-SUB-271; ngoại lệ được ghi rõ.</t>
        </is>
      </c>
      <c r="AB272" s="2" t="inlineStr">
        <is>
          <t>Planned</t>
        </is>
      </c>
      <c r="AC272" s="2" t="inlineStr">
        <is>
          <t>Planned only; no completion evidence was transferred.</t>
        </is>
      </c>
    </row>
    <row r="273">
      <c r="A273" s="2" t="inlineStr">
        <is>
          <t>ORIG-272</t>
        </is>
      </c>
      <c r="B273" s="2" t="n">
        <v>273</v>
      </c>
      <c r="C273" s="2" t="inlineStr">
        <is>
          <t>Demo</t>
        </is>
      </c>
      <c r="D273" s="2" t="inlineStr">
        <is>
          <t>Chuẩn bị demo</t>
        </is>
      </c>
      <c r="E273" s="2" t="inlineStr">
        <is>
          <t>Chuẩn bị tài khoản Demo</t>
        </is>
      </c>
      <c r="F273" s="2" t="inlineStr">
        <is>
          <t>Admin / Staff / Customer</t>
        </is>
      </c>
      <c r="G273" s="2" t="inlineStr">
        <is>
          <t>Bắt buộc</t>
        </is>
      </c>
      <c r="H273" s="2" t="inlineStr">
        <is>
          <t>Sprint 5</t>
        </is>
      </c>
      <c r="I273" s="2" t="inlineStr">
        <is>
          <t>Chuẩn bị tài khoản, dữ liệu và kịch bản demo.</t>
        </is>
      </c>
      <c r="J273" s="2" t="inlineStr">
        <is>
          <t>PH-04</t>
        </is>
      </c>
      <c r="K273" s="2" t="inlineStr">
        <is>
          <t>Release, Verification &amp; Handover</t>
        </is>
      </c>
      <c r="L273" s="2" t="inlineStr">
        <is>
          <t>CIN-T-046</t>
        </is>
      </c>
      <c r="M273" s="2" t="inlineStr">
        <is>
          <t>Chuẩn bị dữ liệu, tài khoản và kịch bản demo</t>
        </is>
      </c>
      <c r="N273" s="2" t="inlineStr">
        <is>
          <t>24120255</t>
        </is>
      </c>
      <c r="O273" s="2" t="inlineStr">
        <is>
          <t>Tran Thien An</t>
        </is>
      </c>
      <c r="P273" s="2" t="inlineStr">
        <is>
          <t>CIN-SUB-272</t>
        </is>
      </c>
      <c r="Q273" s="2" t="inlineStr">
        <is>
          <t>Sprint 5</t>
        </is>
      </c>
      <c r="R273" s="2" t="inlineStr">
        <is>
          <t>24120235</t>
        </is>
      </c>
      <c r="S273" s="2" t="inlineStr">
        <is>
          <t>Huynh Thanh Tu</t>
        </is>
      </c>
      <c r="T273" s="3" t="n">
        <v>46354</v>
      </c>
      <c r="U273" s="3" t="n">
        <v>46368</v>
      </c>
      <c r="V273" s="2" t="n">
        <v>2</v>
      </c>
      <c r="W273" s="2" t="inlineStr">
        <is>
          <t>High</t>
        </is>
      </c>
      <c r="X273" s="2" t="inlineStr">
        <is>
          <t>Demo / Handover</t>
        </is>
      </c>
      <c r="Y273" s="2" t="inlineStr">
        <is>
          <t>CIN-T-045, CIN-T-030</t>
        </is>
      </c>
      <c r="Z273" s="2" t="inlineStr">
        <is>
          <t>Hoàn tất kết quả gốc: Admin / Staff / Customer.</t>
        </is>
      </c>
      <c r="AA273" s="2" t="inlineStr">
        <is>
          <t>Kết quả gốc được kiểm tra và có bằng chứng gắn với CIN-SUB-272; ngoại lệ được ghi rõ.</t>
        </is>
      </c>
      <c r="AB273" s="2" t="inlineStr">
        <is>
          <t>Planned</t>
        </is>
      </c>
      <c r="AC273" s="2" t="inlineStr">
        <is>
          <t>Planned only; no completion evidence was transferred.</t>
        </is>
      </c>
    </row>
    <row r="274">
      <c r="A274" s="2" t="inlineStr">
        <is>
          <t>ORIG-273</t>
        </is>
      </c>
      <c r="B274" s="2" t="n">
        <v>274</v>
      </c>
      <c r="C274" s="2" t="inlineStr">
        <is>
          <t>Demo</t>
        </is>
      </c>
      <c r="D274" s="2" t="n"/>
      <c r="E274" s="2" t="inlineStr">
        <is>
          <t>Chuẩn bị dữ liệu Demo</t>
        </is>
      </c>
      <c r="F274" s="2" t="inlineStr">
        <is>
          <t>Phim, phòng, ghế, suất chiếu, booking</t>
        </is>
      </c>
      <c r="G274" s="2" t="inlineStr">
        <is>
          <t>Bắt buộc</t>
        </is>
      </c>
      <c r="H274" s="2" t="inlineStr">
        <is>
          <t>Sprint 5</t>
        </is>
      </c>
      <c r="I274" s="2" t="inlineStr">
        <is>
          <t>Chuẩn bị tài khoản, dữ liệu và kịch bản demo.</t>
        </is>
      </c>
      <c r="J274" s="2" t="inlineStr">
        <is>
          <t>PH-04</t>
        </is>
      </c>
      <c r="K274" s="2" t="inlineStr">
        <is>
          <t>Release, Verification &amp; Handover</t>
        </is>
      </c>
      <c r="L274" s="2" t="inlineStr">
        <is>
          <t>CIN-T-046</t>
        </is>
      </c>
      <c r="M274" s="2" t="inlineStr">
        <is>
          <t>Chuẩn bị dữ liệu, tài khoản và kịch bản demo</t>
        </is>
      </c>
      <c r="N274" s="2" t="inlineStr">
        <is>
          <t>24120255</t>
        </is>
      </c>
      <c r="O274" s="2" t="inlineStr">
        <is>
          <t>Tran Thien An</t>
        </is>
      </c>
      <c r="P274" s="2" t="inlineStr">
        <is>
          <t>CIN-SUB-273</t>
        </is>
      </c>
      <c r="Q274" s="2" t="inlineStr">
        <is>
          <t>Sprint 5</t>
        </is>
      </c>
      <c r="R274" s="2" t="inlineStr">
        <is>
          <t>24120255</t>
        </is>
      </c>
      <c r="S274" s="2" t="inlineStr">
        <is>
          <t>Tran Thien An</t>
        </is>
      </c>
      <c r="T274" s="3" t="n">
        <v>46354</v>
      </c>
      <c r="U274" s="3" t="n">
        <v>46368</v>
      </c>
      <c r="V274" s="2" t="n">
        <v>3</v>
      </c>
      <c r="W274" s="2" t="inlineStr">
        <is>
          <t>High</t>
        </is>
      </c>
      <c r="X274" s="2" t="inlineStr">
        <is>
          <t>Demo / Handover</t>
        </is>
      </c>
      <c r="Y274" s="2" t="inlineStr">
        <is>
          <t>CIN-T-045, CIN-T-030</t>
        </is>
      </c>
      <c r="Z274" s="2" t="inlineStr">
        <is>
          <t>Hoàn tất kết quả gốc: Phim, phòng, ghế, suất chiếu, booking.</t>
        </is>
      </c>
      <c r="AA274" s="2" t="inlineStr">
        <is>
          <t>Kết quả gốc được kiểm tra và có bằng chứng gắn với CIN-SUB-273; ngoại lệ được ghi rõ.</t>
        </is>
      </c>
      <c r="AB274" s="2" t="inlineStr">
        <is>
          <t>Planned</t>
        </is>
      </c>
      <c r="AC274" s="2" t="inlineStr">
        <is>
          <t>Planned only; no completion evidence was transferred.</t>
        </is>
      </c>
    </row>
    <row r="275">
      <c r="A275" s="2" t="inlineStr">
        <is>
          <t>ORIG-274</t>
        </is>
      </c>
      <c r="B275" s="2" t="n">
        <v>275</v>
      </c>
      <c r="C275" s="2" t="inlineStr">
        <is>
          <t>Demo</t>
        </is>
      </c>
      <c r="D275" s="2" t="n"/>
      <c r="E275" s="2" t="inlineStr">
        <is>
          <t>Chuẩn bị kịch bản Demo</t>
        </is>
      </c>
      <c r="F275" s="2" t="inlineStr">
        <is>
          <t>Kịch bản quản trị + mua vé</t>
        </is>
      </c>
      <c r="G275" s="2" t="inlineStr">
        <is>
          <t>Bắt buộc</t>
        </is>
      </c>
      <c r="H275" s="2" t="inlineStr">
        <is>
          <t>Sprint 5</t>
        </is>
      </c>
      <c r="I275" s="2" t="inlineStr">
        <is>
          <t>Chuẩn bị tài khoản, dữ liệu và kịch bản demo.</t>
        </is>
      </c>
      <c r="J275" s="2" t="inlineStr">
        <is>
          <t>PH-04</t>
        </is>
      </c>
      <c r="K275" s="2" t="inlineStr">
        <is>
          <t>Release, Verification &amp; Handover</t>
        </is>
      </c>
      <c r="L275" s="2" t="inlineStr">
        <is>
          <t>CIN-T-046</t>
        </is>
      </c>
      <c r="M275" s="2" t="inlineStr">
        <is>
          <t>Chuẩn bị dữ liệu, tài khoản và kịch bản demo</t>
        </is>
      </c>
      <c r="N275" s="2" t="inlineStr">
        <is>
          <t>24120255</t>
        </is>
      </c>
      <c r="O275" s="2" t="inlineStr">
        <is>
          <t>Tran Thien An</t>
        </is>
      </c>
      <c r="P275" s="2" t="inlineStr">
        <is>
          <t>CIN-SUB-274</t>
        </is>
      </c>
      <c r="Q275" s="2" t="inlineStr">
        <is>
          <t>Sprint 5</t>
        </is>
      </c>
      <c r="R275" s="2" t="inlineStr">
        <is>
          <t>24120098</t>
        </is>
      </c>
      <c r="S275" s="2" t="inlineStr">
        <is>
          <t>Nguyen Quoc Nam</t>
        </is>
      </c>
      <c r="T275" s="3" t="n">
        <v>46354</v>
      </c>
      <c r="U275" s="3" t="n">
        <v>46368</v>
      </c>
      <c r="V275" s="2" t="n">
        <v>2</v>
      </c>
      <c r="W275" s="2" t="inlineStr">
        <is>
          <t>High</t>
        </is>
      </c>
      <c r="X275" s="2" t="inlineStr">
        <is>
          <t>Demo / Handover</t>
        </is>
      </c>
      <c r="Y275" s="2" t="inlineStr">
        <is>
          <t>CIN-T-045, CIN-T-030</t>
        </is>
      </c>
      <c r="Z275" s="2" t="inlineStr">
        <is>
          <t>Hoàn tất kết quả gốc: Kịch bản quản trị + mua vé.</t>
        </is>
      </c>
      <c r="AA275" s="2" t="inlineStr">
        <is>
          <t>Kết quả gốc được kiểm tra và có bằng chứng gắn với CIN-SUB-274; ngoại lệ được ghi rõ.</t>
        </is>
      </c>
      <c r="AB275" s="2" t="inlineStr">
        <is>
          <t>Planned</t>
        </is>
      </c>
      <c r="AC275" s="2" t="inlineStr">
        <is>
          <t>Planned only; no completion evidence was transferred.</t>
        </is>
      </c>
    </row>
    <row r="276">
      <c r="A276" s="2" t="inlineStr">
        <is>
          <t>ORIG-275</t>
        </is>
      </c>
      <c r="B276" s="2" t="n">
        <v>276</v>
      </c>
      <c r="C276" s="2" t="inlineStr">
        <is>
          <t>Demo</t>
        </is>
      </c>
      <c r="D276" s="2" t="n"/>
      <c r="E276" s="2" t="inlineStr">
        <is>
          <t>Demo Customer Flow</t>
        </is>
      </c>
      <c r="F276" s="2" t="inlineStr">
        <is>
          <t>Xem phim → chọn suất → chọn ghế → thanh toán → nhận vé</t>
        </is>
      </c>
      <c r="G276" s="2" t="inlineStr">
        <is>
          <t>Bắt buộc</t>
        </is>
      </c>
      <c r="H276" s="2" t="inlineStr">
        <is>
          <t>Sprint 5</t>
        </is>
      </c>
      <c r="I276" s="2" t="inlineStr">
        <is>
          <t>Chuẩn bị tài khoản, dữ liệu và kịch bản demo.</t>
        </is>
      </c>
      <c r="J276" s="2" t="inlineStr">
        <is>
          <t>PH-04</t>
        </is>
      </c>
      <c r="K276" s="2" t="inlineStr">
        <is>
          <t>Release, Verification &amp; Handover</t>
        </is>
      </c>
      <c r="L276" s="2" t="inlineStr">
        <is>
          <t>CIN-T-046</t>
        </is>
      </c>
      <c r="M276" s="2" t="inlineStr">
        <is>
          <t>Chuẩn bị dữ liệu, tài khoản và kịch bản demo</t>
        </is>
      </c>
      <c r="N276" s="2" t="inlineStr">
        <is>
          <t>24120255</t>
        </is>
      </c>
      <c r="O276" s="2" t="inlineStr">
        <is>
          <t>Tran Thien An</t>
        </is>
      </c>
      <c r="P276" s="2" t="inlineStr">
        <is>
          <t>CIN-SUB-275</t>
        </is>
      </c>
      <c r="Q276" s="2" t="inlineStr">
        <is>
          <t>Sprint 5</t>
        </is>
      </c>
      <c r="R276" s="2" t="inlineStr">
        <is>
          <t>24120235</t>
        </is>
      </c>
      <c r="S276" s="2" t="inlineStr">
        <is>
          <t>Huynh Thanh Tu</t>
        </is>
      </c>
      <c r="T276" s="3" t="n">
        <v>46354</v>
      </c>
      <c r="U276" s="3" t="n">
        <v>46368</v>
      </c>
      <c r="V276" s="2" t="n">
        <v>2</v>
      </c>
      <c r="W276" s="2" t="inlineStr">
        <is>
          <t>High</t>
        </is>
      </c>
      <c r="X276" s="2" t="inlineStr">
        <is>
          <t>Demo / Handover</t>
        </is>
      </c>
      <c r="Y276" s="2" t="inlineStr">
        <is>
          <t>CIN-T-045, CIN-T-030</t>
        </is>
      </c>
      <c r="Z276" s="2" t="inlineStr">
        <is>
          <t>Hoàn tất kết quả gốc: Xem phim → chọn suất → chọn ghế → thanh toán → nhận vé.</t>
        </is>
      </c>
      <c r="AA276" s="2" t="inlineStr">
        <is>
          <t>Kết quả gốc được kiểm tra và có bằng chứng gắn với CIN-SUB-275; ngoại lệ được ghi rõ.</t>
        </is>
      </c>
      <c r="AB276" s="2" t="inlineStr">
        <is>
          <t>Planned</t>
        </is>
      </c>
      <c r="AC276" s="2" t="inlineStr">
        <is>
          <t>Planned only; no completion evidence was transferred.</t>
        </is>
      </c>
    </row>
    <row r="277">
      <c r="A277" s="2" t="inlineStr">
        <is>
          <t>ORIG-276</t>
        </is>
      </c>
      <c r="B277" s="2" t="n">
        <v>277</v>
      </c>
      <c r="C277" s="2" t="inlineStr">
        <is>
          <t>Demo</t>
        </is>
      </c>
      <c r="D277" s="2" t="n"/>
      <c r="E277" s="2" t="inlineStr">
        <is>
          <t>Demo Admin Flow</t>
        </is>
      </c>
      <c r="F277" s="2" t="inlineStr">
        <is>
          <t>Quản lý phim → phòng → ghế → suất chiếu</t>
        </is>
      </c>
      <c r="G277" s="2" t="inlineStr">
        <is>
          <t>Bắt buộc</t>
        </is>
      </c>
      <c r="H277" s="2" t="inlineStr">
        <is>
          <t>Sprint 5</t>
        </is>
      </c>
      <c r="I277" s="2" t="inlineStr">
        <is>
          <t>Chuẩn bị tài khoản, dữ liệu và kịch bản demo.</t>
        </is>
      </c>
      <c r="J277" s="2" t="inlineStr">
        <is>
          <t>PH-04</t>
        </is>
      </c>
      <c r="K277" s="2" t="inlineStr">
        <is>
          <t>Release, Verification &amp; Handover</t>
        </is>
      </c>
      <c r="L277" s="2" t="inlineStr">
        <is>
          <t>CIN-T-046</t>
        </is>
      </c>
      <c r="M277" s="2" t="inlineStr">
        <is>
          <t>Chuẩn bị dữ liệu, tài khoản và kịch bản demo</t>
        </is>
      </c>
      <c r="N277" s="2" t="inlineStr">
        <is>
          <t>24120255</t>
        </is>
      </c>
      <c r="O277" s="2" t="inlineStr">
        <is>
          <t>Tran Thien An</t>
        </is>
      </c>
      <c r="P277" s="2" t="inlineStr">
        <is>
          <t>CIN-SUB-276</t>
        </is>
      </c>
      <c r="Q277" s="2" t="inlineStr">
        <is>
          <t>Sprint 5</t>
        </is>
      </c>
      <c r="R277" s="2" t="inlineStr">
        <is>
          <t>24120244</t>
        </is>
      </c>
      <c r="S277" s="2" t="inlineStr">
        <is>
          <t>Phan Van Viet</t>
        </is>
      </c>
      <c r="T277" s="3" t="n">
        <v>46354</v>
      </c>
      <c r="U277" s="3" t="n">
        <v>46368</v>
      </c>
      <c r="V277" s="2" t="n">
        <v>2</v>
      </c>
      <c r="W277" s="2" t="inlineStr">
        <is>
          <t>High</t>
        </is>
      </c>
      <c r="X277" s="2" t="inlineStr">
        <is>
          <t>Demo / Handover</t>
        </is>
      </c>
      <c r="Y277" s="2" t="inlineStr">
        <is>
          <t>CIN-T-045, CIN-T-030</t>
        </is>
      </c>
      <c r="Z277" s="2" t="inlineStr">
        <is>
          <t>Hoàn tất kết quả gốc: Quản lý phim → phòng → ghế → suất chiếu.</t>
        </is>
      </c>
      <c r="AA277" s="2" t="inlineStr">
        <is>
          <t>Kết quả gốc được kiểm tra và có bằng chứng gắn với CIN-SUB-276; ngoại lệ được ghi rõ.</t>
        </is>
      </c>
      <c r="AB277" s="2" t="inlineStr">
        <is>
          <t>Planned</t>
        </is>
      </c>
      <c r="AC277" s="2" t="inlineStr">
        <is>
          <t>Planned only; no completion evidence was transferred.</t>
        </is>
      </c>
    </row>
    <row r="278">
      <c r="A278" s="2" t="inlineStr">
        <is>
          <t>ORIG-277</t>
        </is>
      </c>
      <c r="B278" s="2" t="n">
        <v>278</v>
      </c>
      <c r="C278" s="2" t="inlineStr">
        <is>
          <t>Demo</t>
        </is>
      </c>
      <c r="D278" s="2" t="n"/>
      <c r="E278" s="2" t="inlineStr">
        <is>
          <t>Demo Statistics</t>
        </is>
      </c>
      <c r="F278" s="2" t="inlineStr">
        <is>
          <t>Dashboard và báo cáo</t>
        </is>
      </c>
      <c r="G278" s="2" t="inlineStr">
        <is>
          <t>Bắt buộc</t>
        </is>
      </c>
      <c r="H278" s="2" t="inlineStr">
        <is>
          <t>Sprint 5</t>
        </is>
      </c>
      <c r="I278" s="2" t="inlineStr">
        <is>
          <t>Chuẩn bị tài khoản, dữ liệu và kịch bản demo.</t>
        </is>
      </c>
      <c r="J278" s="2" t="inlineStr">
        <is>
          <t>PH-04</t>
        </is>
      </c>
      <c r="K278" s="2" t="inlineStr">
        <is>
          <t>Release, Verification &amp; Handover</t>
        </is>
      </c>
      <c r="L278" s="2" t="inlineStr">
        <is>
          <t>CIN-T-046</t>
        </is>
      </c>
      <c r="M278" s="2" t="inlineStr">
        <is>
          <t>Chuẩn bị dữ liệu, tài khoản và kịch bản demo</t>
        </is>
      </c>
      <c r="N278" s="2" t="inlineStr">
        <is>
          <t>24120255</t>
        </is>
      </c>
      <c r="O278" s="2" t="inlineStr">
        <is>
          <t>Tran Thien An</t>
        </is>
      </c>
      <c r="P278" s="2" t="inlineStr">
        <is>
          <t>CIN-SUB-277</t>
        </is>
      </c>
      <c r="Q278" s="2" t="inlineStr">
        <is>
          <t>Sprint 5</t>
        </is>
      </c>
      <c r="R278" s="2" t="inlineStr">
        <is>
          <t>24120271</t>
        </is>
      </c>
      <c r="S278" s="2" t="inlineStr">
        <is>
          <t>Nguyen Trung Chinh</t>
        </is>
      </c>
      <c r="T278" s="3" t="n">
        <v>46354</v>
      </c>
      <c r="U278" s="3" t="n">
        <v>46368</v>
      </c>
      <c r="V278" s="2" t="n">
        <v>2</v>
      </c>
      <c r="W278" s="2" t="inlineStr">
        <is>
          <t>High</t>
        </is>
      </c>
      <c r="X278" s="2" t="inlineStr">
        <is>
          <t>Demo / Handover</t>
        </is>
      </c>
      <c r="Y278" s="2" t="inlineStr">
        <is>
          <t>CIN-T-045, CIN-T-030</t>
        </is>
      </c>
      <c r="Z278" s="2" t="inlineStr">
        <is>
          <t>Hoàn tất kết quả gốc: Dashboard và báo cáo.</t>
        </is>
      </c>
      <c r="AA278" s="2" t="inlineStr">
        <is>
          <t>Kết quả gốc được kiểm tra và có bằng chứng gắn với CIN-SUB-277; ngoại lệ được ghi rõ.</t>
        </is>
      </c>
      <c r="AB278" s="2" t="inlineStr">
        <is>
          <t>Planned</t>
        </is>
      </c>
      <c r="AC278" s="2" t="inlineStr">
        <is>
          <t>Planned only; no completion evidence was transferred.</t>
        </is>
      </c>
    </row>
    <row r="279">
      <c r="A279" s="2" t="inlineStr">
        <is>
          <t>ORIG-278</t>
        </is>
      </c>
      <c r="B279" s="2" t="n">
        <v>279</v>
      </c>
      <c r="C279" s="2" t="inlineStr">
        <is>
          <t>Demo</t>
        </is>
      </c>
      <c r="D279" s="2" t="n"/>
      <c r="E279" s="2" t="inlineStr">
        <is>
          <t>Demo Deployment</t>
        </is>
      </c>
      <c r="F279" s="2" t="inlineStr">
        <is>
          <t>Trình diễn Web App trên môi trường production</t>
        </is>
      </c>
      <c r="G279" s="2" t="inlineStr">
        <is>
          <t>Bắt buộc</t>
        </is>
      </c>
      <c r="H279" s="2" t="inlineStr">
        <is>
          <t>Sprint 5</t>
        </is>
      </c>
      <c r="I279" s="2" t="inlineStr">
        <is>
          <t>Chuẩn bị tài khoản, dữ liệu và kịch bản demo.</t>
        </is>
      </c>
      <c r="J279" s="2" t="inlineStr">
        <is>
          <t>PH-04</t>
        </is>
      </c>
      <c r="K279" s="2" t="inlineStr">
        <is>
          <t>Release, Verification &amp; Handover</t>
        </is>
      </c>
      <c r="L279" s="2" t="inlineStr">
        <is>
          <t>CIN-T-046</t>
        </is>
      </c>
      <c r="M279" s="2" t="inlineStr">
        <is>
          <t>Chuẩn bị dữ liệu, tài khoản và kịch bản demo</t>
        </is>
      </c>
      <c r="N279" s="2" t="inlineStr">
        <is>
          <t>24120255</t>
        </is>
      </c>
      <c r="O279" s="2" t="inlineStr">
        <is>
          <t>Tran Thien An</t>
        </is>
      </c>
      <c r="P279" s="2" t="inlineStr">
        <is>
          <t>CIN-SUB-278</t>
        </is>
      </c>
      <c r="Q279" s="2" t="inlineStr">
        <is>
          <t>Sprint 5</t>
        </is>
      </c>
      <c r="R279" s="2" t="inlineStr">
        <is>
          <t>24120255</t>
        </is>
      </c>
      <c r="S279" s="2" t="inlineStr">
        <is>
          <t>Tran Thien An</t>
        </is>
      </c>
      <c r="T279" s="3" t="n">
        <v>46354</v>
      </c>
      <c r="U279" s="3" t="n">
        <v>46368</v>
      </c>
      <c r="V279" s="2" t="n">
        <v>3</v>
      </c>
      <c r="W279" s="2" t="inlineStr">
        <is>
          <t>High</t>
        </is>
      </c>
      <c r="X279" s="2" t="inlineStr">
        <is>
          <t>Demo / Handover</t>
        </is>
      </c>
      <c r="Y279" s="2" t="inlineStr">
        <is>
          <t>CIN-T-045, CIN-T-030</t>
        </is>
      </c>
      <c r="Z279" s="2" t="inlineStr">
        <is>
          <t>Hoàn tất kết quả gốc: Trình diễn Web App trên môi trường production.</t>
        </is>
      </c>
      <c r="AA279" s="2" t="inlineStr">
        <is>
          <t>Kết quả gốc được kiểm tra và có bằng chứng gắn với CIN-SUB-278; ngoại lệ được ghi rõ.</t>
        </is>
      </c>
      <c r="AB279" s="2" t="inlineStr">
        <is>
          <t>Planned</t>
        </is>
      </c>
      <c r="AC279" s="2" t="inlineStr">
        <is>
          <t>Planned only; no completion evidence was transferred.</t>
        </is>
      </c>
    </row>
    <row r="280">
      <c r="A280" s="2" t="inlineStr">
        <is>
          <t>ORIG-279</t>
        </is>
      </c>
      <c r="B280" s="2" t="n">
        <v>280</v>
      </c>
      <c r="C280" s="2" t="inlineStr">
        <is>
          <t>Báo cáo</t>
        </is>
      </c>
      <c r="D280" s="2" t="inlineStr">
        <is>
          <t>Hoàn thiện báo cáo</t>
        </is>
      </c>
      <c r="E280" s="2" t="inlineStr">
        <is>
          <t>Tổng quan hệ thống</t>
        </is>
      </c>
      <c r="F280" s="2" t="inlineStr">
        <is>
          <t>Mục tiêu và phạm vi</t>
        </is>
      </c>
      <c r="G280" s="2" t="inlineStr">
        <is>
          <t>Bắt buộc</t>
        </is>
      </c>
      <c r="H280" s="2" t="inlineStr">
        <is>
          <t>Sprint 1</t>
        </is>
      </c>
      <c r="I280" s="2" t="inlineStr">
        <is>
          <t>Viết dần theo tiến độ; hoàn thiện và rà soát trước hạn nộp.</t>
        </is>
      </c>
      <c r="J280" s="2" t="inlineStr">
        <is>
          <t>PH-01</t>
        </is>
      </c>
      <c r="K280" s="2" t="inlineStr">
        <is>
          <t>Discovery &amp; PA1</t>
        </is>
      </c>
      <c r="L280" s="2" t="inlineStr">
        <is>
          <t>CIN-T-047</t>
        </is>
      </c>
      <c r="M280" s="2" t="inlineStr">
        <is>
          <t>Soạn tổng quan và phân tích nghiệp vụ cho PA1</t>
        </is>
      </c>
      <c r="N280" s="2" t="inlineStr">
        <is>
          <t>24120098</t>
        </is>
      </c>
      <c r="O280" s="2" t="inlineStr">
        <is>
          <t>Nguyen Quoc Nam</t>
        </is>
      </c>
      <c r="P280" s="2" t="inlineStr">
        <is>
          <t>CIN-SUB-279</t>
        </is>
      </c>
      <c r="Q280" s="2" t="inlineStr">
        <is>
          <t>Sprint 1</t>
        </is>
      </c>
      <c r="R280" s="2" t="inlineStr">
        <is>
          <t>24120098</t>
        </is>
      </c>
      <c r="S280" s="2" t="inlineStr">
        <is>
          <t>Nguyen Quoc Nam</t>
        </is>
      </c>
      <c r="T280" s="3" t="n">
        <v>46298</v>
      </c>
      <c r="U280" s="3" t="n">
        <v>46311</v>
      </c>
      <c r="V280" s="2" t="n">
        <v>2</v>
      </c>
      <c r="W280" s="2" t="inlineStr">
        <is>
          <t>High</t>
        </is>
      </c>
      <c r="X280" s="2" t="inlineStr">
        <is>
          <t>Documentation</t>
        </is>
      </c>
      <c r="Y280" s="2" t="inlineStr">
        <is>
          <t>CIN-T-003</t>
        </is>
      </c>
      <c r="Z280" s="2" t="inlineStr">
        <is>
          <t>Hoàn tất kết quả gốc: Mục tiêu và phạm vi.</t>
        </is>
      </c>
      <c r="AA280" s="2" t="inlineStr">
        <is>
          <t>Kết quả gốc được kiểm tra và có bằng chứng gắn với CIN-SUB-279; ngoại lệ được ghi rõ.</t>
        </is>
      </c>
      <c r="AB280" s="2" t="inlineStr">
        <is>
          <t>Planned</t>
        </is>
      </c>
      <c r="AC280" s="2" t="inlineStr">
        <is>
          <t>Planned only; no completion evidence was transferred.</t>
        </is>
      </c>
    </row>
    <row r="281">
      <c r="A281" s="2" t="inlineStr">
        <is>
          <t>ORIG-280</t>
        </is>
      </c>
      <c r="B281" s="2" t="n">
        <v>281</v>
      </c>
      <c r="C281" s="2" t="inlineStr">
        <is>
          <t>Báo cáo</t>
        </is>
      </c>
      <c r="D281" s="2" t="n"/>
      <c r="E281" s="2" t="inlineStr">
        <is>
          <t>Phân tích nghiệp vụ</t>
        </is>
      </c>
      <c r="F281" s="2" t="inlineStr">
        <is>
          <t>Requirements + Use Case</t>
        </is>
      </c>
      <c r="G281" s="2" t="inlineStr">
        <is>
          <t>Bắt buộc</t>
        </is>
      </c>
      <c r="H281" s="2" t="inlineStr">
        <is>
          <t>Sprint 1</t>
        </is>
      </c>
      <c r="I281" s="2" t="inlineStr">
        <is>
          <t>Viết dần theo tiến độ; hoàn thiện và rà soát trước hạn nộp.</t>
        </is>
      </c>
      <c r="J281" s="2" t="inlineStr">
        <is>
          <t>PH-01</t>
        </is>
      </c>
      <c r="K281" s="2" t="inlineStr">
        <is>
          <t>Discovery &amp; PA1</t>
        </is>
      </c>
      <c r="L281" s="2" t="inlineStr">
        <is>
          <t>CIN-T-047</t>
        </is>
      </c>
      <c r="M281" s="2" t="inlineStr">
        <is>
          <t>Soạn tổng quan và phân tích nghiệp vụ cho PA1</t>
        </is>
      </c>
      <c r="N281" s="2" t="inlineStr">
        <is>
          <t>24120098</t>
        </is>
      </c>
      <c r="O281" s="2" t="inlineStr">
        <is>
          <t>Nguyen Quoc Nam</t>
        </is>
      </c>
      <c r="P281" s="2" t="inlineStr">
        <is>
          <t>CIN-SUB-280</t>
        </is>
      </c>
      <c r="Q281" s="2" t="inlineStr">
        <is>
          <t>Sprint 1</t>
        </is>
      </c>
      <c r="R281" s="2" t="inlineStr">
        <is>
          <t>24120235</t>
        </is>
      </c>
      <c r="S281" s="2" t="inlineStr">
        <is>
          <t>Huynh Thanh Tu</t>
        </is>
      </c>
      <c r="T281" s="3" t="n">
        <v>46298</v>
      </c>
      <c r="U281" s="3" t="n">
        <v>46311</v>
      </c>
      <c r="V281" s="2" t="n">
        <v>2</v>
      </c>
      <c r="W281" s="2" t="inlineStr">
        <is>
          <t>High</t>
        </is>
      </c>
      <c r="X281" s="2" t="inlineStr">
        <is>
          <t>Documentation</t>
        </is>
      </c>
      <c r="Y281" s="2" t="inlineStr">
        <is>
          <t>CIN-T-003</t>
        </is>
      </c>
      <c r="Z281" s="2" t="inlineStr">
        <is>
          <t>Hoàn tất kết quả gốc: Requirements + Use Case.</t>
        </is>
      </c>
      <c r="AA281" s="2" t="inlineStr">
        <is>
          <t>Kết quả gốc được kiểm tra và có bằng chứng gắn với CIN-SUB-280; ngoại lệ được ghi rõ.</t>
        </is>
      </c>
      <c r="AB281" s="2" t="inlineStr">
        <is>
          <t>Planned</t>
        </is>
      </c>
      <c r="AC281" s="2" t="inlineStr">
        <is>
          <t>Planned only; no completion evidence was transferred.</t>
        </is>
      </c>
    </row>
    <row r="282">
      <c r="A282" s="2" t="inlineStr">
        <is>
          <t>ORIG-281</t>
        </is>
      </c>
      <c r="B282" s="2" t="n">
        <v>282</v>
      </c>
      <c r="C282" s="2" t="inlineStr">
        <is>
          <t>Báo cáo</t>
        </is>
      </c>
      <c r="D282" s="2" t="n"/>
      <c r="E282" s="2" t="inlineStr">
        <is>
          <t>Thiết kế hệ thống</t>
        </is>
      </c>
      <c r="F282" s="2" t="inlineStr">
        <is>
          <t>Architecture</t>
        </is>
      </c>
      <c r="G282" s="2" t="inlineStr">
        <is>
          <t>Bắt buộc</t>
        </is>
      </c>
      <c r="H282" s="2" t="inlineStr">
        <is>
          <t>Sprint 2</t>
        </is>
      </c>
      <c r="I282" s="2" t="inlineStr">
        <is>
          <t>Viết dần theo tiến độ; hoàn thiện và rà soát trước hạn nộp.</t>
        </is>
      </c>
      <c r="J282" s="2" t="inlineStr">
        <is>
          <t>PH-02</t>
        </is>
      </c>
      <c r="K282" s="2" t="inlineStr">
        <is>
          <t>Solution Design &amp; Foundations</t>
        </is>
      </c>
      <c r="L282" s="2" t="inlineStr">
        <is>
          <t>CIN-T-048</t>
        </is>
      </c>
      <c r="M282" s="2" t="inlineStr">
        <is>
          <t>Soạn phần thiết kế hệ thống và database</t>
        </is>
      </c>
      <c r="N282" s="2" t="inlineStr">
        <is>
          <t>24120244</t>
        </is>
      </c>
      <c r="O282" s="2" t="inlineStr">
        <is>
          <t>Phan Van Viet</t>
        </is>
      </c>
      <c r="P282" s="2" t="inlineStr">
        <is>
          <t>CIN-SUB-281</t>
        </is>
      </c>
      <c r="Q282" s="2" t="inlineStr">
        <is>
          <t>Sprint 2</t>
        </is>
      </c>
      <c r="R282" s="2" t="inlineStr">
        <is>
          <t>24120235</t>
        </is>
      </c>
      <c r="S282" s="2" t="inlineStr">
        <is>
          <t>Huynh Thanh Tu</t>
        </is>
      </c>
      <c r="T282" s="3" t="n">
        <v>46312</v>
      </c>
      <c r="U282" s="3" t="n">
        <v>46325</v>
      </c>
      <c r="V282" s="2" t="n">
        <v>2</v>
      </c>
      <c r="W282" s="2" t="inlineStr">
        <is>
          <t>Medium</t>
        </is>
      </c>
      <c r="X282" s="2" t="inlineStr">
        <is>
          <t>Documentation</t>
        </is>
      </c>
      <c r="Y282" s="2" t="inlineStr">
        <is>
          <t>CIN-T-007, CIN-T-003</t>
        </is>
      </c>
      <c r="Z282" s="2" t="inlineStr">
        <is>
          <t>Hoàn tất kết quả gốc: Architecture.</t>
        </is>
      </c>
      <c r="AA282" s="2" t="inlineStr">
        <is>
          <t>Kết quả gốc được kiểm tra và có bằng chứng gắn với CIN-SUB-281; ngoại lệ được ghi rõ.</t>
        </is>
      </c>
      <c r="AB282" s="2" t="inlineStr">
        <is>
          <t>Planned</t>
        </is>
      </c>
      <c r="AC282" s="2" t="inlineStr">
        <is>
          <t>Planned only; no completion evidence was transferred.</t>
        </is>
      </c>
    </row>
    <row r="283">
      <c r="A283" s="2" t="inlineStr">
        <is>
          <t>ORIG-282</t>
        </is>
      </c>
      <c r="B283" s="2" t="n">
        <v>283</v>
      </c>
      <c r="C283" s="2" t="inlineStr">
        <is>
          <t>Báo cáo</t>
        </is>
      </c>
      <c r="D283" s="2" t="n"/>
      <c r="E283" s="2" t="inlineStr">
        <is>
          <t>Thiết kế Database</t>
        </is>
      </c>
      <c r="F283" s="2" t="inlineStr">
        <is>
          <t>ERD + mô tả bảng</t>
        </is>
      </c>
      <c r="G283" s="2" t="inlineStr">
        <is>
          <t>Bắt buộc</t>
        </is>
      </c>
      <c r="H283" s="2" t="inlineStr">
        <is>
          <t>Sprint 2</t>
        </is>
      </c>
      <c r="I283" s="2" t="inlineStr">
        <is>
          <t>Viết dần theo tiến độ; hoàn thiện và rà soát trước hạn nộp.</t>
        </is>
      </c>
      <c r="J283" s="2" t="inlineStr">
        <is>
          <t>PH-02</t>
        </is>
      </c>
      <c r="K283" s="2" t="inlineStr">
        <is>
          <t>Solution Design &amp; Foundations</t>
        </is>
      </c>
      <c r="L283" s="2" t="inlineStr">
        <is>
          <t>CIN-T-048</t>
        </is>
      </c>
      <c r="M283" s="2" t="inlineStr">
        <is>
          <t>Soạn phần thiết kế hệ thống và database</t>
        </is>
      </c>
      <c r="N283" s="2" t="inlineStr">
        <is>
          <t>24120244</t>
        </is>
      </c>
      <c r="O283" s="2" t="inlineStr">
        <is>
          <t>Phan Van Viet</t>
        </is>
      </c>
      <c r="P283" s="2" t="inlineStr">
        <is>
          <t>CIN-SUB-282</t>
        </is>
      </c>
      <c r="Q283" s="2" t="inlineStr">
        <is>
          <t>Sprint 2</t>
        </is>
      </c>
      <c r="R283" s="2" t="inlineStr">
        <is>
          <t>24120244</t>
        </is>
      </c>
      <c r="S283" s="2" t="inlineStr">
        <is>
          <t>Phan Van Viet</t>
        </is>
      </c>
      <c r="T283" s="3" t="n">
        <v>46312</v>
      </c>
      <c r="U283" s="3" t="n">
        <v>46325</v>
      </c>
      <c r="V283" s="2" t="n">
        <v>3</v>
      </c>
      <c r="W283" s="2" t="inlineStr">
        <is>
          <t>Medium</t>
        </is>
      </c>
      <c r="X283" s="2" t="inlineStr">
        <is>
          <t>Documentation</t>
        </is>
      </c>
      <c r="Y283" s="2" t="inlineStr">
        <is>
          <t>CIN-T-007, CIN-T-003</t>
        </is>
      </c>
      <c r="Z283" s="2" t="inlineStr">
        <is>
          <t>Hoàn tất kết quả gốc: ERD + mô tả bảng.</t>
        </is>
      </c>
      <c r="AA283" s="2" t="inlineStr">
        <is>
          <t>Kết quả gốc được kiểm tra và có bằng chứng gắn với CIN-SUB-282; ngoại lệ được ghi rõ.</t>
        </is>
      </c>
      <c r="AB283" s="2" t="inlineStr">
        <is>
          <t>Planned</t>
        </is>
      </c>
      <c r="AC283" s="2" t="inlineStr">
        <is>
          <t>Planned only; no completion evidence was transferred.</t>
        </is>
      </c>
    </row>
    <row r="284">
      <c r="A284" s="2" t="inlineStr">
        <is>
          <t>ORIG-283</t>
        </is>
      </c>
      <c r="B284" s="2" t="n">
        <v>284</v>
      </c>
      <c r="C284" s="2" t="inlineStr">
        <is>
          <t>Báo cáo</t>
        </is>
      </c>
      <c r="D284" s="2" t="n"/>
      <c r="E284" s="2" t="inlineStr">
        <is>
          <t>Backend</t>
        </is>
      </c>
      <c r="F284" s="2" t="inlineStr">
        <is>
          <t>API + Business Logic</t>
        </is>
      </c>
      <c r="G284" s="2" t="inlineStr">
        <is>
          <t>Bắt buộc</t>
        </is>
      </c>
      <c r="H284" s="2" t="inlineStr">
        <is>
          <t>Sprint 4</t>
        </is>
      </c>
      <c r="I284" s="2" t="inlineStr">
        <is>
          <t>Viết dần theo tiến độ; hoàn thiện và rà soát trước hạn nộp.</t>
        </is>
      </c>
      <c r="J284" s="2" t="inlineStr">
        <is>
          <t>PH-04</t>
        </is>
      </c>
      <c r="K284" s="2" t="inlineStr">
        <is>
          <t>Release, Verification &amp; Handover</t>
        </is>
      </c>
      <c r="L284" s="2" t="inlineStr">
        <is>
          <t>CIN-T-049</t>
        </is>
      </c>
      <c r="M284" s="2" t="inlineStr">
        <is>
          <t>Hoàn thiện chương kỹ thuật và triển khai trong báo cáo</t>
        </is>
      </c>
      <c r="N284" s="2" t="inlineStr">
        <is>
          <t>24120271</t>
        </is>
      </c>
      <c r="O284" s="2" t="inlineStr">
        <is>
          <t>Nguyen Trung Chinh</t>
        </is>
      </c>
      <c r="P284" s="2" t="inlineStr">
        <is>
          <t>CIN-SUB-283</t>
        </is>
      </c>
      <c r="Q284" s="2" t="inlineStr">
        <is>
          <t>Sprint 5</t>
        </is>
      </c>
      <c r="R284" s="2" t="inlineStr">
        <is>
          <t>24120098</t>
        </is>
      </c>
      <c r="S284" s="2" t="inlineStr">
        <is>
          <t>Nguyen Quoc Nam</t>
        </is>
      </c>
      <c r="T284" s="3" t="n">
        <v>46354</v>
      </c>
      <c r="U284" s="3" t="n">
        <v>46368</v>
      </c>
      <c r="V284" s="2" t="n">
        <v>3</v>
      </c>
      <c r="W284" s="2" t="inlineStr">
        <is>
          <t>Medium</t>
        </is>
      </c>
      <c r="X284" s="2" t="inlineStr">
        <is>
          <t>Documentation</t>
        </is>
      </c>
      <c r="Y284" s="2" t="inlineStr">
        <is>
          <t>CIN-T-045, CIN-T-036, CIN-T-044</t>
        </is>
      </c>
      <c r="Z284" s="2" t="inlineStr">
        <is>
          <t>Hoàn tất kết quả gốc: API + Business Logic.</t>
        </is>
      </c>
      <c r="AA284" s="2" t="inlineStr">
        <is>
          <t>Kết quả gốc được kiểm tra và có bằng chứng gắn với CIN-SUB-283; ngoại lệ được ghi rõ.</t>
        </is>
      </c>
      <c r="AB284" s="2" t="inlineStr">
        <is>
          <t>Planned</t>
        </is>
      </c>
      <c r="AC284" s="2" t="inlineStr">
        <is>
          <t>Planned only; no completion evidence was transferred.</t>
        </is>
      </c>
    </row>
    <row r="285">
      <c r="A285" s="2" t="inlineStr">
        <is>
          <t>ORIG-284</t>
        </is>
      </c>
      <c r="B285" s="2" t="n">
        <v>285</v>
      </c>
      <c r="C285" s="2" t="inlineStr">
        <is>
          <t>Báo cáo</t>
        </is>
      </c>
      <c r="D285" s="2" t="n"/>
      <c r="E285" s="2" t="inlineStr">
        <is>
          <t>Frontend</t>
        </is>
      </c>
      <c r="F285" s="2" t="inlineStr">
        <is>
          <t>Giao diện và chức năng</t>
        </is>
      </c>
      <c r="G285" s="2" t="inlineStr">
        <is>
          <t>Bắt buộc</t>
        </is>
      </c>
      <c r="H285" s="2" t="inlineStr">
        <is>
          <t>Sprint 4</t>
        </is>
      </c>
      <c r="I285" s="2" t="inlineStr">
        <is>
          <t>Viết dần theo tiến độ; hoàn thiện và rà soát trước hạn nộp.</t>
        </is>
      </c>
      <c r="J285" s="2" t="inlineStr">
        <is>
          <t>PH-04</t>
        </is>
      </c>
      <c r="K285" s="2" t="inlineStr">
        <is>
          <t>Release, Verification &amp; Handover</t>
        </is>
      </c>
      <c r="L285" s="2" t="inlineStr">
        <is>
          <t>CIN-T-049</t>
        </is>
      </c>
      <c r="M285" s="2" t="inlineStr">
        <is>
          <t>Hoàn thiện chương kỹ thuật và triển khai trong báo cáo</t>
        </is>
      </c>
      <c r="N285" s="2" t="inlineStr">
        <is>
          <t>24120271</t>
        </is>
      </c>
      <c r="O285" s="2" t="inlineStr">
        <is>
          <t>Nguyen Trung Chinh</t>
        </is>
      </c>
      <c r="P285" s="2" t="inlineStr">
        <is>
          <t>CIN-SUB-284</t>
        </is>
      </c>
      <c r="Q285" s="2" t="inlineStr">
        <is>
          <t>Sprint 5</t>
        </is>
      </c>
      <c r="R285" s="2" t="inlineStr">
        <is>
          <t>24120271</t>
        </is>
      </c>
      <c r="S285" s="2" t="inlineStr">
        <is>
          <t>Nguyen Trung Chinh</t>
        </is>
      </c>
      <c r="T285" s="3" t="n">
        <v>46354</v>
      </c>
      <c r="U285" s="3" t="n">
        <v>46368</v>
      </c>
      <c r="V285" s="2" t="n">
        <v>2</v>
      </c>
      <c r="W285" s="2" t="inlineStr">
        <is>
          <t>Medium</t>
        </is>
      </c>
      <c r="X285" s="2" t="inlineStr">
        <is>
          <t>Documentation</t>
        </is>
      </c>
      <c r="Y285" s="2" t="inlineStr">
        <is>
          <t>CIN-T-045, CIN-T-036, CIN-T-044</t>
        </is>
      </c>
      <c r="Z285" s="2" t="inlineStr">
        <is>
          <t>Hoàn tất kết quả gốc: Giao diện và chức năng.</t>
        </is>
      </c>
      <c r="AA285" s="2" t="inlineStr">
        <is>
          <t>Kết quả gốc được kiểm tra và có bằng chứng gắn với CIN-SUB-284; ngoại lệ được ghi rõ.</t>
        </is>
      </c>
      <c r="AB285" s="2" t="inlineStr">
        <is>
          <t>Planned</t>
        </is>
      </c>
      <c r="AC285" s="2" t="inlineStr">
        <is>
          <t>Planned only; no completion evidence was transferred.</t>
        </is>
      </c>
    </row>
    <row r="286">
      <c r="A286" s="2" t="inlineStr">
        <is>
          <t>ORIG-285</t>
        </is>
      </c>
      <c r="B286" s="2" t="n">
        <v>286</v>
      </c>
      <c r="C286" s="2" t="inlineStr">
        <is>
          <t>Báo cáo</t>
        </is>
      </c>
      <c r="D286" s="2" t="n"/>
      <c r="E286" s="2" t="inlineStr">
        <is>
          <t>Authentication / Security</t>
        </is>
      </c>
      <c r="F286" s="2" t="inlineStr">
        <is>
          <t>Cơ chế bảo mật</t>
        </is>
      </c>
      <c r="G286" s="2" t="inlineStr">
        <is>
          <t>Bắt buộc</t>
        </is>
      </c>
      <c r="H286" s="2" t="inlineStr">
        <is>
          <t>Sprint 4</t>
        </is>
      </c>
      <c r="I286" s="2" t="inlineStr">
        <is>
          <t>Viết dần theo tiến độ; hoàn thiện và rà soát trước hạn nộp.</t>
        </is>
      </c>
      <c r="J286" s="2" t="inlineStr">
        <is>
          <t>PH-04</t>
        </is>
      </c>
      <c r="K286" s="2" t="inlineStr">
        <is>
          <t>Release, Verification &amp; Handover</t>
        </is>
      </c>
      <c r="L286" s="2" t="inlineStr">
        <is>
          <t>CIN-T-049</t>
        </is>
      </c>
      <c r="M286" s="2" t="inlineStr">
        <is>
          <t>Hoàn thiện chương kỹ thuật và triển khai trong báo cáo</t>
        </is>
      </c>
      <c r="N286" s="2" t="inlineStr">
        <is>
          <t>24120271</t>
        </is>
      </c>
      <c r="O286" s="2" t="inlineStr">
        <is>
          <t>Nguyen Trung Chinh</t>
        </is>
      </c>
      <c r="P286" s="2" t="inlineStr">
        <is>
          <t>CIN-SUB-285</t>
        </is>
      </c>
      <c r="Q286" s="2" t="inlineStr">
        <is>
          <t>Sprint 5</t>
        </is>
      </c>
      <c r="R286" s="2" t="inlineStr">
        <is>
          <t>24120244</t>
        </is>
      </c>
      <c r="S286" s="2" t="inlineStr">
        <is>
          <t>Phan Van Viet</t>
        </is>
      </c>
      <c r="T286" s="3" t="n">
        <v>46354</v>
      </c>
      <c r="U286" s="3" t="n">
        <v>46368</v>
      </c>
      <c r="V286" s="2" t="n">
        <v>3</v>
      </c>
      <c r="W286" s="2" t="inlineStr">
        <is>
          <t>Medium</t>
        </is>
      </c>
      <c r="X286" s="2" t="inlineStr">
        <is>
          <t>Documentation</t>
        </is>
      </c>
      <c r="Y286" s="2" t="inlineStr">
        <is>
          <t>CIN-T-045, CIN-T-036, CIN-T-044</t>
        </is>
      </c>
      <c r="Z286" s="2" t="inlineStr">
        <is>
          <t>Hoàn tất kết quả gốc: Cơ chế bảo mật.</t>
        </is>
      </c>
      <c r="AA286" s="2" t="inlineStr">
        <is>
          <t>Kết quả gốc được kiểm tra và có bằng chứng gắn với CIN-SUB-285; ngoại lệ được ghi rõ.</t>
        </is>
      </c>
      <c r="AB286" s="2" t="inlineStr">
        <is>
          <t>Planned</t>
        </is>
      </c>
      <c r="AC286" s="2" t="inlineStr">
        <is>
          <t>Planned only; no completion evidence was transferred.</t>
        </is>
      </c>
    </row>
    <row r="287">
      <c r="A287" s="2" t="inlineStr">
        <is>
          <t>ORIG-286</t>
        </is>
      </c>
      <c r="B287" s="2" t="n">
        <v>287</v>
      </c>
      <c r="C287" s="2" t="inlineStr">
        <is>
          <t>Báo cáo</t>
        </is>
      </c>
      <c r="D287" s="2" t="n"/>
      <c r="E287" s="2" t="inlineStr">
        <is>
          <t>Testing</t>
        </is>
      </c>
      <c r="F287" s="2" t="inlineStr">
        <is>
          <t>Test case + kết quả</t>
        </is>
      </c>
      <c r="G287" s="2" t="inlineStr">
        <is>
          <t>Bắt buộc</t>
        </is>
      </c>
      <c r="H287" s="2" t="inlineStr">
        <is>
          <t>Sprint 4</t>
        </is>
      </c>
      <c r="I287" s="2" t="inlineStr">
        <is>
          <t>Viết dần theo tiến độ; hoàn thiện và rà soát trước hạn nộp.</t>
        </is>
      </c>
      <c r="J287" s="2" t="inlineStr">
        <is>
          <t>PH-04</t>
        </is>
      </c>
      <c r="K287" s="2" t="inlineStr">
        <is>
          <t>Release, Verification &amp; Handover</t>
        </is>
      </c>
      <c r="L287" s="2" t="inlineStr">
        <is>
          <t>CIN-T-049</t>
        </is>
      </c>
      <c r="M287" s="2" t="inlineStr">
        <is>
          <t>Hoàn thiện chương kỹ thuật và triển khai trong báo cáo</t>
        </is>
      </c>
      <c r="N287" s="2" t="inlineStr">
        <is>
          <t>24120271</t>
        </is>
      </c>
      <c r="O287" s="2" t="inlineStr">
        <is>
          <t>Nguyen Trung Chinh</t>
        </is>
      </c>
      <c r="P287" s="2" t="inlineStr">
        <is>
          <t>CIN-SUB-286</t>
        </is>
      </c>
      <c r="Q287" s="2" t="inlineStr">
        <is>
          <t>Sprint 5</t>
        </is>
      </c>
      <c r="R287" s="2" t="inlineStr">
        <is>
          <t>24120235</t>
        </is>
      </c>
      <c r="S287" s="2" t="inlineStr">
        <is>
          <t>Huynh Thanh Tu</t>
        </is>
      </c>
      <c r="T287" s="3" t="n">
        <v>46354</v>
      </c>
      <c r="U287" s="3" t="n">
        <v>46368</v>
      </c>
      <c r="V287" s="2" t="n">
        <v>3</v>
      </c>
      <c r="W287" s="2" t="inlineStr">
        <is>
          <t>Medium</t>
        </is>
      </c>
      <c r="X287" s="2" t="inlineStr">
        <is>
          <t>Documentation</t>
        </is>
      </c>
      <c r="Y287" s="2" t="inlineStr">
        <is>
          <t>CIN-T-045, CIN-T-036, CIN-T-044</t>
        </is>
      </c>
      <c r="Z287" s="2" t="inlineStr">
        <is>
          <t>Hoàn tất kết quả gốc: Test case + kết quả.</t>
        </is>
      </c>
      <c r="AA287" s="2" t="inlineStr">
        <is>
          <t>Kết quả gốc được kiểm tra và có bằng chứng gắn với CIN-SUB-286; ngoại lệ được ghi rõ.</t>
        </is>
      </c>
      <c r="AB287" s="2" t="inlineStr">
        <is>
          <t>Planned</t>
        </is>
      </c>
      <c r="AC287" s="2" t="inlineStr">
        <is>
          <t>Planned only; no completion evidence was transferred.</t>
        </is>
      </c>
    </row>
    <row r="288">
      <c r="A288" s="2" t="inlineStr">
        <is>
          <t>ORIG-287</t>
        </is>
      </c>
      <c r="B288" s="2" t="n">
        <v>288</v>
      </c>
      <c r="C288" s="2" t="inlineStr">
        <is>
          <t>Báo cáo</t>
        </is>
      </c>
      <c r="D288" s="2" t="n"/>
      <c r="E288" s="2" t="inlineStr">
        <is>
          <t>Deployment</t>
        </is>
      </c>
      <c r="F288" s="2" t="inlineStr">
        <is>
          <t>Môi trường và quy trình deploy</t>
        </is>
      </c>
      <c r="G288" s="2" t="inlineStr">
        <is>
          <t>Bắt buộc</t>
        </is>
      </c>
      <c r="H288" s="2" t="inlineStr">
        <is>
          <t>Sprint 5</t>
        </is>
      </c>
      <c r="I288" s="2" t="inlineStr">
        <is>
          <t>Viết dần theo tiến độ; hoàn thiện và rà soát trước hạn nộp.</t>
        </is>
      </c>
      <c r="J288" s="2" t="inlineStr">
        <is>
          <t>PH-04</t>
        </is>
      </c>
      <c r="K288" s="2" t="inlineStr">
        <is>
          <t>Release, Verification &amp; Handover</t>
        </is>
      </c>
      <c r="L288" s="2" t="inlineStr">
        <is>
          <t>CIN-T-049</t>
        </is>
      </c>
      <c r="M288" s="2" t="inlineStr">
        <is>
          <t>Hoàn thiện chương kỹ thuật và triển khai trong báo cáo</t>
        </is>
      </c>
      <c r="N288" s="2" t="inlineStr">
        <is>
          <t>24120271</t>
        </is>
      </c>
      <c r="O288" s="2" t="inlineStr">
        <is>
          <t>Nguyen Trung Chinh</t>
        </is>
      </c>
      <c r="P288" s="2" t="inlineStr">
        <is>
          <t>CIN-SUB-287</t>
        </is>
      </c>
      <c r="Q288" s="2" t="inlineStr">
        <is>
          <t>Sprint 5</t>
        </is>
      </c>
      <c r="R288" s="2" t="inlineStr">
        <is>
          <t>24120271</t>
        </is>
      </c>
      <c r="S288" s="2" t="inlineStr">
        <is>
          <t>Nguyen Trung Chinh</t>
        </is>
      </c>
      <c r="T288" s="3" t="n">
        <v>46354</v>
      </c>
      <c r="U288" s="3" t="n">
        <v>46368</v>
      </c>
      <c r="V288" s="2" t="n">
        <v>3</v>
      </c>
      <c r="W288" s="2" t="inlineStr">
        <is>
          <t>Medium</t>
        </is>
      </c>
      <c r="X288" s="2" t="inlineStr">
        <is>
          <t>Documentation</t>
        </is>
      </c>
      <c r="Y288" s="2" t="inlineStr">
        <is>
          <t>CIN-T-045, CIN-T-036, CIN-T-044</t>
        </is>
      </c>
      <c r="Z288" s="2" t="inlineStr">
        <is>
          <t>Hoàn tất kết quả gốc: Môi trường và quy trình deploy.</t>
        </is>
      </c>
      <c r="AA288" s="2" t="inlineStr">
        <is>
          <t>Kết quả gốc được kiểm tra và có bằng chứng gắn với CIN-SUB-287; ngoại lệ được ghi rõ.</t>
        </is>
      </c>
      <c r="AB288" s="2" t="inlineStr">
        <is>
          <t>Planned</t>
        </is>
      </c>
      <c r="AC288" s="2" t="inlineStr">
        <is>
          <t>Planned only; no completion evidence was transferred.</t>
        </is>
      </c>
    </row>
    <row r="289">
      <c r="A289" s="2" t="inlineStr">
        <is>
          <t>ORIG-288</t>
        </is>
      </c>
      <c r="B289" s="2" t="n">
        <v>289</v>
      </c>
      <c r="C289" s="2" t="inlineStr">
        <is>
          <t>Báo cáo</t>
        </is>
      </c>
      <c r="D289" s="2" t="n"/>
      <c r="E289" s="2" t="inlineStr">
        <is>
          <t>AI Integration</t>
        </is>
      </c>
      <c r="F289" s="2" t="inlineStr">
        <is>
          <t>Mô tả chức năng AI nếu có</t>
        </is>
      </c>
      <c r="G289" s="2" t="inlineStr">
        <is>
          <t>Bắt buộc</t>
        </is>
      </c>
      <c r="H289" s="2" t="inlineStr">
        <is>
          <t>Sprint 5</t>
        </is>
      </c>
      <c r="I289" s="2" t="inlineStr">
        <is>
          <t>Viết dần theo tiến độ; hoàn thiện và rà soát trước hạn nộp.</t>
        </is>
      </c>
      <c r="J289" s="2" t="inlineStr">
        <is>
          <t>PH-04</t>
        </is>
      </c>
      <c r="K289" s="2" t="inlineStr">
        <is>
          <t>Release, Verification &amp; Handover</t>
        </is>
      </c>
      <c r="L289" s="2" t="inlineStr">
        <is>
          <t>CIN-T-049</t>
        </is>
      </c>
      <c r="M289" s="2" t="inlineStr">
        <is>
          <t>Hoàn thiện chương kỹ thuật và triển khai trong báo cáo</t>
        </is>
      </c>
      <c r="N289" s="2" t="inlineStr">
        <is>
          <t>24120271</t>
        </is>
      </c>
      <c r="O289" s="2" t="inlineStr">
        <is>
          <t>Nguyen Trung Chinh</t>
        </is>
      </c>
      <c r="P289" s="2" t="inlineStr">
        <is>
          <t>CIN-SUB-288</t>
        </is>
      </c>
      <c r="Q289" s="2" t="inlineStr">
        <is>
          <t>Sprint 5</t>
        </is>
      </c>
      <c r="R289" s="2" t="inlineStr">
        <is>
          <t>24120255</t>
        </is>
      </c>
      <c r="S289" s="2" t="inlineStr">
        <is>
          <t>Tran Thien An</t>
        </is>
      </c>
      <c r="T289" s="3" t="n">
        <v>46354</v>
      </c>
      <c r="U289" s="3" t="n">
        <v>46368</v>
      </c>
      <c r="V289" s="2" t="n">
        <v>2</v>
      </c>
      <c r="W289" s="2" t="inlineStr">
        <is>
          <t>Medium</t>
        </is>
      </c>
      <c r="X289" s="2" t="inlineStr">
        <is>
          <t>Documentation</t>
        </is>
      </c>
      <c r="Y289" s="2" t="inlineStr">
        <is>
          <t>CIN-T-045, CIN-T-036, CIN-T-044</t>
        </is>
      </c>
      <c r="Z289" s="2" t="inlineStr">
        <is>
          <t>Hoàn tất kết quả gốc: Mô tả chức năng AI nếu có.</t>
        </is>
      </c>
      <c r="AA289" s="2" t="inlineStr">
        <is>
          <t>Kết quả gốc được kiểm tra và có bằng chứng gắn với CIN-SUB-288; ngoại lệ được ghi rõ.</t>
        </is>
      </c>
      <c r="AB289" s="2" t="inlineStr">
        <is>
          <t>Planned</t>
        </is>
      </c>
      <c r="AC289" s="2" t="inlineStr">
        <is>
          <t>Planned only; no completion evidence was transferred. Conditional/optional; confirm rubric, infrastructure and remaining capacity.</t>
        </is>
      </c>
    </row>
    <row r="290">
      <c r="A290" s="2" t="inlineStr">
        <is>
          <t>ORIG-289</t>
        </is>
      </c>
      <c r="B290" s="2" t="n">
        <v>290</v>
      </c>
      <c r="C290" s="2" t="inlineStr">
        <is>
          <t>Báo cáo</t>
        </is>
      </c>
      <c r="D290" s="2" t="n"/>
      <c r="E290" s="2" t="inlineStr">
        <is>
          <t>Đánh giá hệ thống</t>
        </is>
      </c>
      <c r="F290" s="2" t="inlineStr">
        <is>
          <t>Ưu điểm, hạn chế, hướng phát triển</t>
        </is>
      </c>
      <c r="G290" s="2" t="inlineStr">
        <is>
          <t>Bắt buộc</t>
        </is>
      </c>
      <c r="H290" s="2" t="inlineStr">
        <is>
          <t>Sprint 5</t>
        </is>
      </c>
      <c r="I290" s="2" t="inlineStr">
        <is>
          <t>Viết dần theo tiến độ; hoàn thiện và rà soát trước hạn nộp.</t>
        </is>
      </c>
      <c r="J290" s="2" t="inlineStr">
        <is>
          <t>PH-04</t>
        </is>
      </c>
      <c r="K290" s="2" t="inlineStr">
        <is>
          <t>Release, Verification &amp; Handover</t>
        </is>
      </c>
      <c r="L290" s="2" t="inlineStr">
        <is>
          <t>CIN-T-050</t>
        </is>
      </c>
      <c r="M290" s="2" t="inlineStr">
        <is>
          <t>Hoàn thiện đánh giá, slide và phân công thuyết trình</t>
        </is>
      </c>
      <c r="N290" s="2" t="inlineStr">
        <is>
          <t>24120244</t>
        </is>
      </c>
      <c r="O290" s="2" t="inlineStr">
        <is>
          <t>Phan Van Viet</t>
        </is>
      </c>
      <c r="P290" s="2" t="inlineStr">
        <is>
          <t>CIN-SUB-289</t>
        </is>
      </c>
      <c r="Q290" s="2" t="inlineStr">
        <is>
          <t>Sprint 5</t>
        </is>
      </c>
      <c r="R290" s="2" t="inlineStr">
        <is>
          <t>24120098</t>
        </is>
      </c>
      <c r="S290" s="2" t="inlineStr">
        <is>
          <t>Nguyen Quoc Nam</t>
        </is>
      </c>
      <c r="T290" s="3" t="n">
        <v>46354</v>
      </c>
      <c r="U290" s="3" t="n">
        <v>46368</v>
      </c>
      <c r="V290" s="2" t="n">
        <v>2</v>
      </c>
      <c r="W290" s="2" t="inlineStr">
        <is>
          <t>High</t>
        </is>
      </c>
      <c r="X290" s="2" t="inlineStr">
        <is>
          <t>Documentation / Handover</t>
        </is>
      </c>
      <c r="Y290" s="2" t="inlineStr">
        <is>
          <t>CIN-T-049, CIN-T-046</t>
        </is>
      </c>
      <c r="Z290" s="2" t="inlineStr">
        <is>
          <t>Hoàn tất kết quả gốc: Ưu điểm, hạn chế, hướng phát triển.</t>
        </is>
      </c>
      <c r="AA290" s="2" t="inlineStr">
        <is>
          <t>Kết quả gốc được kiểm tra và có bằng chứng gắn với CIN-SUB-289; ngoại lệ được ghi rõ.</t>
        </is>
      </c>
      <c r="AB290" s="2" t="inlineStr">
        <is>
          <t>Planned</t>
        </is>
      </c>
      <c r="AC290" s="2" t="inlineStr">
        <is>
          <t>Planned only; no completion evidence was transferred.</t>
        </is>
      </c>
    </row>
    <row r="291">
      <c r="A291" s="2" t="inlineStr">
        <is>
          <t>ORIG-290</t>
        </is>
      </c>
      <c r="B291" s="2" t="n">
        <v>291</v>
      </c>
      <c r="C291" s="2" t="inlineStr">
        <is>
          <t>Báo cáo</t>
        </is>
      </c>
      <c r="D291" s="2" t="n"/>
      <c r="E291" s="2" t="inlineStr">
        <is>
          <t>Hình ảnh minh họa</t>
        </is>
      </c>
      <c r="F291" s="2" t="inlineStr">
        <is>
          <t>Screenshot giao diện, API, Database, Deployment</t>
        </is>
      </c>
      <c r="G291" s="2" t="inlineStr">
        <is>
          <t>Bắt buộc</t>
        </is>
      </c>
      <c r="H291" s="2" t="inlineStr">
        <is>
          <t>Sprint 5</t>
        </is>
      </c>
      <c r="I291" s="2" t="inlineStr">
        <is>
          <t>Viết dần theo tiến độ; hoàn thiện và rà soát trước hạn nộp.</t>
        </is>
      </c>
      <c r="J291" s="2" t="inlineStr">
        <is>
          <t>PH-04</t>
        </is>
      </c>
      <c r="K291" s="2" t="inlineStr">
        <is>
          <t>Release, Verification &amp; Handover</t>
        </is>
      </c>
      <c r="L291" s="2" t="inlineStr">
        <is>
          <t>CIN-T-050</t>
        </is>
      </c>
      <c r="M291" s="2" t="inlineStr">
        <is>
          <t>Hoàn thiện đánh giá, slide và phân công thuyết trình</t>
        </is>
      </c>
      <c r="N291" s="2" t="inlineStr">
        <is>
          <t>24120244</t>
        </is>
      </c>
      <c r="O291" s="2" t="inlineStr">
        <is>
          <t>Phan Van Viet</t>
        </is>
      </c>
      <c r="P291" s="2" t="inlineStr">
        <is>
          <t>CIN-SUB-290</t>
        </is>
      </c>
      <c r="Q291" s="2" t="inlineStr">
        <is>
          <t>Sprint 5</t>
        </is>
      </c>
      <c r="R291" s="2" t="inlineStr">
        <is>
          <t>24120244</t>
        </is>
      </c>
      <c r="S291" s="2" t="inlineStr">
        <is>
          <t>Phan Van Viet</t>
        </is>
      </c>
      <c r="T291" s="3" t="n">
        <v>46354</v>
      </c>
      <c r="U291" s="3" t="n">
        <v>46368</v>
      </c>
      <c r="V291" s="2" t="n">
        <v>3</v>
      </c>
      <c r="W291" s="2" t="inlineStr">
        <is>
          <t>High</t>
        </is>
      </c>
      <c r="X291" s="2" t="inlineStr">
        <is>
          <t>Documentation / Handover</t>
        </is>
      </c>
      <c r="Y291" s="2" t="inlineStr">
        <is>
          <t>CIN-T-049, CIN-T-046</t>
        </is>
      </c>
      <c r="Z291" s="2" t="inlineStr">
        <is>
          <t>Hoàn tất kết quả gốc: Screenshot giao diện, API, Database, Deployment.</t>
        </is>
      </c>
      <c r="AA291" s="2" t="inlineStr">
        <is>
          <t>Kết quả gốc được kiểm tra và có bằng chứng gắn với CIN-SUB-290; ngoại lệ được ghi rõ.</t>
        </is>
      </c>
      <c r="AB291" s="2" t="inlineStr">
        <is>
          <t>Planned</t>
        </is>
      </c>
      <c r="AC291" s="2" t="inlineStr">
        <is>
          <t>Planned only; no completion evidence was transferred.</t>
        </is>
      </c>
    </row>
    <row r="292">
      <c r="A292" s="2" t="inlineStr">
        <is>
          <t>ORIG-291</t>
        </is>
      </c>
      <c r="B292" s="2" t="n">
        <v>292</v>
      </c>
      <c r="C292" s="2" t="inlineStr">
        <is>
          <t>Báo cáo</t>
        </is>
      </c>
      <c r="D292" s="2" t="n"/>
      <c r="E292" s="2" t="inlineStr">
        <is>
          <t>Chuẩn bị Slide</t>
        </is>
      </c>
      <c r="F292" s="2" t="inlineStr">
        <is>
          <t>Slide thuyết trình</t>
        </is>
      </c>
      <c r="G292" s="2" t="inlineStr">
        <is>
          <t>Bắt buộc</t>
        </is>
      </c>
      <c r="H292" s="2" t="inlineStr">
        <is>
          <t>Sprint 5</t>
        </is>
      </c>
      <c r="I292" s="2" t="inlineStr">
        <is>
          <t>Viết dần theo tiến độ; hoàn thiện và rà soát trước hạn nộp.</t>
        </is>
      </c>
      <c r="J292" s="2" t="inlineStr">
        <is>
          <t>PH-04</t>
        </is>
      </c>
      <c r="K292" s="2" t="inlineStr">
        <is>
          <t>Release, Verification &amp; Handover</t>
        </is>
      </c>
      <c r="L292" s="2" t="inlineStr">
        <is>
          <t>CIN-T-050</t>
        </is>
      </c>
      <c r="M292" s="2" t="inlineStr">
        <is>
          <t>Hoàn thiện đánh giá, slide và phân công thuyết trình</t>
        </is>
      </c>
      <c r="N292" s="2" t="inlineStr">
        <is>
          <t>24120244</t>
        </is>
      </c>
      <c r="O292" s="2" t="inlineStr">
        <is>
          <t>Phan Van Viet</t>
        </is>
      </c>
      <c r="P292" s="2" t="inlineStr">
        <is>
          <t>CIN-SUB-291</t>
        </is>
      </c>
      <c r="Q292" s="2" t="inlineStr">
        <is>
          <t>Sprint 5</t>
        </is>
      </c>
      <c r="R292" s="2" t="inlineStr">
        <is>
          <t>24120235</t>
        </is>
      </c>
      <c r="S292" s="2" t="inlineStr">
        <is>
          <t>Huynh Thanh Tu</t>
        </is>
      </c>
      <c r="T292" s="3" t="n">
        <v>46354</v>
      </c>
      <c r="U292" s="3" t="n">
        <v>46368</v>
      </c>
      <c r="V292" s="2" t="n">
        <v>1</v>
      </c>
      <c r="W292" s="2" t="inlineStr">
        <is>
          <t>High</t>
        </is>
      </c>
      <c r="X292" s="2" t="inlineStr">
        <is>
          <t>Documentation / Handover</t>
        </is>
      </c>
      <c r="Y292" s="2" t="inlineStr">
        <is>
          <t>CIN-T-049, CIN-T-046</t>
        </is>
      </c>
      <c r="Z292" s="2" t="inlineStr">
        <is>
          <t>Hoàn tất kết quả gốc: Slide thuyết trình.</t>
        </is>
      </c>
      <c r="AA292" s="2" t="inlineStr">
        <is>
          <t>Kết quả gốc được kiểm tra và có bằng chứng gắn với CIN-SUB-291; ngoại lệ được ghi rõ.</t>
        </is>
      </c>
      <c r="AB292" s="2" t="inlineStr">
        <is>
          <t>Planned</t>
        </is>
      </c>
      <c r="AC292" s="2" t="inlineStr">
        <is>
          <t>Planned only; no completion evidence was transferred.</t>
        </is>
      </c>
    </row>
    <row r="293">
      <c r="A293" s="2" t="inlineStr">
        <is>
          <t>ORIG-292</t>
        </is>
      </c>
      <c r="B293" s="2" t="n">
        <v>293</v>
      </c>
      <c r="C293" s="2" t="inlineStr">
        <is>
          <t>Báo cáo</t>
        </is>
      </c>
      <c r="D293" s="2" t="n"/>
      <c r="E293" s="2" t="inlineStr">
        <is>
          <t>Chuẩn bị phân công thuyết trình</t>
        </is>
      </c>
      <c r="F293" s="2" t="inlineStr">
        <is>
          <t>Thành viên và nội dung trình bày</t>
        </is>
      </c>
      <c r="G293" s="2" t="inlineStr">
        <is>
          <t>Bắt buộc</t>
        </is>
      </c>
      <c r="H293" s="2" t="inlineStr">
        <is>
          <t>Sprint 5</t>
        </is>
      </c>
      <c r="I293" s="2" t="inlineStr">
        <is>
          <t>Viết dần theo tiến độ; hoàn thiện và rà soát trước hạn nộp.</t>
        </is>
      </c>
      <c r="J293" s="2" t="inlineStr">
        <is>
          <t>PH-04</t>
        </is>
      </c>
      <c r="K293" s="2" t="inlineStr">
        <is>
          <t>Release, Verification &amp; Handover</t>
        </is>
      </c>
      <c r="L293" s="2" t="inlineStr">
        <is>
          <t>CIN-T-050</t>
        </is>
      </c>
      <c r="M293" s="2" t="inlineStr">
        <is>
          <t>Hoàn thiện đánh giá, slide và phân công thuyết trình</t>
        </is>
      </c>
      <c r="N293" s="2" t="inlineStr">
        <is>
          <t>24120244</t>
        </is>
      </c>
      <c r="O293" s="2" t="inlineStr">
        <is>
          <t>Phan Van Viet</t>
        </is>
      </c>
      <c r="P293" s="2" t="inlineStr">
        <is>
          <t>CIN-SUB-292</t>
        </is>
      </c>
      <c r="Q293" s="2" t="inlineStr">
        <is>
          <t>Sprint 5</t>
        </is>
      </c>
      <c r="R293" s="2" t="inlineStr">
        <is>
          <t>24120235</t>
        </is>
      </c>
      <c r="S293" s="2" t="inlineStr">
        <is>
          <t>Huynh Thanh Tu</t>
        </is>
      </c>
      <c r="T293" s="3" t="n">
        <v>46354</v>
      </c>
      <c r="U293" s="3" t="n">
        <v>46368</v>
      </c>
      <c r="V293" s="2" t="n">
        <v>1</v>
      </c>
      <c r="W293" s="2" t="inlineStr">
        <is>
          <t>High</t>
        </is>
      </c>
      <c r="X293" s="2" t="inlineStr">
        <is>
          <t>Documentation / Handover</t>
        </is>
      </c>
      <c r="Y293" s="2" t="inlineStr">
        <is>
          <t>CIN-T-049, CIN-T-046</t>
        </is>
      </c>
      <c r="Z293" s="2" t="inlineStr">
        <is>
          <t>Hoàn tất kết quả gốc: Thành viên và nội dung trình bày.</t>
        </is>
      </c>
      <c r="AA293" s="2" t="inlineStr">
        <is>
          <t>Kết quả gốc được kiểm tra và có bằng chứng gắn với CIN-SUB-292; ngoại lệ được ghi rõ.</t>
        </is>
      </c>
      <c r="AB293" s="2" t="inlineStr">
        <is>
          <t>Planned</t>
        </is>
      </c>
      <c r="AC293" s="2" t="inlineStr">
        <is>
          <t>Planned only; no completion evidence was transferred.</t>
        </is>
      </c>
    </row>
  </sheetData>
  <autoFilter ref="A1:AC293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60" customWidth="1" min="4" max="4"/>
    <col width="12" customWidth="1" min="5" max="5"/>
    <col width="37" customWidth="1" min="6" max="6"/>
    <col width="16" customWidth="1" min="7" max="7"/>
    <col width="16" customWidth="1" min="8" max="8"/>
    <col width="24" customWidth="1" min="9" max="9"/>
    <col width="22" customWidth="1" min="10" max="10"/>
    <col width="16" customWidth="1" min="11" max="11"/>
    <col width="24" customWidth="1" min="12" max="12"/>
    <col width="15" customWidth="1" min="13" max="13"/>
    <col width="15" customWidth="1" min="14" max="14"/>
    <col width="12" customWidth="1" min="15" max="15"/>
    <col width="17" customWidth="1" min="16" max="16"/>
    <col width="14" customWidth="1" min="17" max="17"/>
    <col width="16" customWidth="1" min="18" max="18"/>
  </cols>
  <sheetData>
    <row r="1" ht="34" customHeight="1">
      <c r="A1" s="1" t="inlineStr">
        <is>
          <t>Level</t>
        </is>
      </c>
      <c r="B1" s="1" t="inlineStr">
        <is>
          <t>Hierarchy ID</t>
        </is>
      </c>
      <c r="C1" s="1" t="inlineStr">
        <is>
          <t>Parent ID</t>
        </is>
      </c>
      <c r="D1" s="1" t="inlineStr">
        <is>
          <t>Name / Original Task</t>
        </is>
      </c>
      <c r="E1" s="1" t="inlineStr">
        <is>
          <t>Phase ID</t>
        </is>
      </c>
      <c r="F1" s="1" t="inlineStr">
        <is>
          <t>Phase Name</t>
        </is>
      </c>
      <c r="G1" s="1" t="inlineStr">
        <is>
          <t>Task ID</t>
        </is>
      </c>
      <c r="H1" s="1" t="inlineStr">
        <is>
          <t>Task Owner ID</t>
        </is>
      </c>
      <c r="I1" s="1" t="inlineStr">
        <is>
          <t>Task Owner Name</t>
        </is>
      </c>
      <c r="J1" s="1" t="inlineStr">
        <is>
          <t>Sprint</t>
        </is>
      </c>
      <c r="K1" s="1" t="inlineStr">
        <is>
          <t>Assignee ID</t>
        </is>
      </c>
      <c r="L1" s="1" t="inlineStr">
        <is>
          <t>Assignee Name</t>
        </is>
      </c>
      <c r="M1" s="1" t="inlineStr">
        <is>
          <t>Start Date</t>
        </is>
      </c>
      <c r="N1" s="1" t="inlineStr">
        <is>
          <t>Due Date</t>
        </is>
      </c>
      <c r="O1" s="1" t="inlineStr">
        <is>
          <t>Effort</t>
        </is>
      </c>
      <c r="P1" s="1" t="inlineStr">
        <is>
          <t>Original Row ID</t>
        </is>
      </c>
      <c r="Q1" s="1" t="inlineStr">
        <is>
          <t>Priority</t>
        </is>
      </c>
      <c r="R1" s="1" t="inlineStr">
        <is>
          <t>Status</t>
        </is>
      </c>
    </row>
    <row r="2">
      <c r="A2" s="4" t="inlineStr">
        <is>
          <t>Phase</t>
        </is>
      </c>
      <c r="B2" s="4" t="inlineStr">
        <is>
          <t>PH-01</t>
        </is>
      </c>
      <c r="C2" s="4" t="inlineStr"/>
      <c r="D2" s="4" t="inlineStr">
        <is>
          <t>Discovery &amp; PA1</t>
        </is>
      </c>
      <c r="E2" s="4" t="inlineStr">
        <is>
          <t>PH-01</t>
        </is>
      </c>
      <c r="F2" s="4" t="inlineStr">
        <is>
          <t>Discovery &amp; PA1</t>
        </is>
      </c>
      <c r="G2" s="4" t="inlineStr"/>
      <c r="H2" s="4" t="inlineStr"/>
      <c r="I2" s="4" t="inlineStr"/>
      <c r="J2" s="4" t="inlineStr">
        <is>
          <t>Sprint 1</t>
        </is>
      </c>
      <c r="K2" s="4" t="inlineStr"/>
      <c r="L2" s="4" t="inlineStr"/>
      <c r="M2" s="5" t="n">
        <v>46298</v>
      </c>
      <c r="N2" s="5" t="n">
        <v>46311</v>
      </c>
      <c r="O2" s="4">
        <f>SUMIFS('Master Subtasks'!$V$2:$V$293,'Master Subtasks'!$J$2:$J$293,$B2)</f>
        <v/>
      </c>
      <c r="P2" s="4" t="inlineStr"/>
      <c r="Q2" s="4" t="inlineStr"/>
      <c r="R2" s="4" t="inlineStr">
        <is>
          <t>Planned</t>
        </is>
      </c>
    </row>
    <row r="3">
      <c r="A3" s="6" t="inlineStr">
        <is>
          <t>Task</t>
        </is>
      </c>
      <c r="B3" s="6" t="inlineStr">
        <is>
          <t>CIN-T-001</t>
        </is>
      </c>
      <c r="C3" s="6" t="inlineStr">
        <is>
          <t>PH-01</t>
        </is>
      </c>
      <c r="D3" s="6" t="inlineStr">
        <is>
          <t>Chốt phạm vi hệ thống và tác nhân</t>
        </is>
      </c>
      <c r="E3" s="6" t="inlineStr">
        <is>
          <t>PH-01</t>
        </is>
      </c>
      <c r="F3" s="6" t="inlineStr">
        <is>
          <t>Discovery &amp; PA1</t>
        </is>
      </c>
      <c r="G3" s="6" t="inlineStr">
        <is>
          <t>CIN-T-001</t>
        </is>
      </c>
      <c r="H3" s="6" t="inlineStr">
        <is>
          <t>24120271</t>
        </is>
      </c>
      <c r="I3" s="6" t="inlineStr">
        <is>
          <t>Nguyen Trung Chinh</t>
        </is>
      </c>
      <c r="J3" s="6" t="inlineStr">
        <is>
          <t>Sprint 1</t>
        </is>
      </c>
      <c r="K3" s="6" t="inlineStr"/>
      <c r="L3" s="6" t="inlineStr"/>
      <c r="M3" s="7" t="n">
        <v>46298</v>
      </c>
      <c r="N3" s="7" t="n">
        <v>46311</v>
      </c>
      <c r="O3" s="6">
        <f>SUMIFS('Master Subtasks'!$V$2:$V$293,'Master Subtasks'!$L$2:$L$293,$B3)</f>
        <v/>
      </c>
      <c r="P3" s="6" t="inlineStr"/>
      <c r="Q3" s="6" t="inlineStr">
        <is>
          <t>High</t>
        </is>
      </c>
      <c r="R3" s="6" t="inlineStr">
        <is>
          <t>Planned</t>
        </is>
      </c>
    </row>
    <row r="4">
      <c r="A4" s="2" t="inlineStr">
        <is>
          <t>Sub-task</t>
        </is>
      </c>
      <c r="B4" s="2" t="inlineStr">
        <is>
          <t>CIN-SUB-001</t>
        </is>
      </c>
      <c r="C4" s="2" t="inlineStr">
        <is>
          <t>CIN-T-001</t>
        </is>
      </c>
      <c r="D4" s="2" t="inlineStr">
        <is>
          <t>Xác định loại hệ thống</t>
        </is>
      </c>
      <c r="E4" s="2" t="inlineStr">
        <is>
          <t>PH-01</t>
        </is>
      </c>
      <c r="F4" s="2" t="inlineStr">
        <is>
          <t>Discovery &amp; PA1</t>
        </is>
      </c>
      <c r="G4" s="2" t="inlineStr">
        <is>
          <t>CIN-T-001</t>
        </is>
      </c>
      <c r="H4" s="2" t="inlineStr">
        <is>
          <t>24120271</t>
        </is>
      </c>
      <c r="I4" s="2" t="inlineStr">
        <is>
          <t>Nguyen Trung Chinh</t>
        </is>
      </c>
      <c r="J4" s="2" t="inlineStr">
        <is>
          <t>Sprint 1</t>
        </is>
      </c>
      <c r="K4" s="2" t="inlineStr">
        <is>
          <t>24120271</t>
        </is>
      </c>
      <c r="L4" s="2" t="inlineStr">
        <is>
          <t>Nguyen Trung Chinh</t>
        </is>
      </c>
      <c r="M4" s="3" t="n">
        <v>46298</v>
      </c>
      <c r="N4" s="3" t="n">
        <v>46311</v>
      </c>
      <c r="O4" s="2" t="n">
        <v>2</v>
      </c>
      <c r="P4" s="2" t="inlineStr">
        <is>
          <t>ORIG-001</t>
        </is>
      </c>
      <c r="Q4" s="2" t="inlineStr">
        <is>
          <t>High</t>
        </is>
      </c>
      <c r="R4" s="2" t="inlineStr">
        <is>
          <t>Planned</t>
        </is>
      </c>
    </row>
    <row r="5">
      <c r="A5" s="2" t="inlineStr">
        <is>
          <t>Sub-task</t>
        </is>
      </c>
      <c r="B5" s="2" t="inlineStr">
        <is>
          <t>CIN-SUB-002</t>
        </is>
      </c>
      <c r="C5" s="2" t="inlineStr">
        <is>
          <t>CIN-T-001</t>
        </is>
      </c>
      <c r="D5" s="2" t="inlineStr">
        <is>
          <t>Xác định phạm vi hệ thống</t>
        </is>
      </c>
      <c r="E5" s="2" t="inlineStr">
        <is>
          <t>PH-01</t>
        </is>
      </c>
      <c r="F5" s="2" t="inlineStr">
        <is>
          <t>Discovery &amp; PA1</t>
        </is>
      </c>
      <c r="G5" s="2" t="inlineStr">
        <is>
          <t>CIN-T-001</t>
        </is>
      </c>
      <c r="H5" s="2" t="inlineStr">
        <is>
          <t>24120271</t>
        </is>
      </c>
      <c r="I5" s="2" t="inlineStr">
        <is>
          <t>Nguyen Trung Chinh</t>
        </is>
      </c>
      <c r="J5" s="2" t="inlineStr">
        <is>
          <t>Sprint 1</t>
        </is>
      </c>
      <c r="K5" s="2" t="inlineStr">
        <is>
          <t>24120244</t>
        </is>
      </c>
      <c r="L5" s="2" t="inlineStr">
        <is>
          <t>Phan Van Viet</t>
        </is>
      </c>
      <c r="M5" s="3" t="n">
        <v>46298</v>
      </c>
      <c r="N5" s="3" t="n">
        <v>46311</v>
      </c>
      <c r="O5" s="2" t="n">
        <v>2</v>
      </c>
      <c r="P5" s="2" t="inlineStr">
        <is>
          <t>ORIG-002</t>
        </is>
      </c>
      <c r="Q5" s="2" t="inlineStr">
        <is>
          <t>High</t>
        </is>
      </c>
      <c r="R5" s="2" t="inlineStr">
        <is>
          <t>Planned</t>
        </is>
      </c>
    </row>
    <row r="6">
      <c r="A6" s="2" t="inlineStr">
        <is>
          <t>Sub-task</t>
        </is>
      </c>
      <c r="B6" s="2" t="inlineStr">
        <is>
          <t>CIN-SUB-003</t>
        </is>
      </c>
      <c r="C6" s="2" t="inlineStr">
        <is>
          <t>CIN-T-001</t>
        </is>
      </c>
      <c r="D6" s="2" t="inlineStr">
        <is>
          <t>Xác định Actor</t>
        </is>
      </c>
      <c r="E6" s="2" t="inlineStr">
        <is>
          <t>PH-01</t>
        </is>
      </c>
      <c r="F6" s="2" t="inlineStr">
        <is>
          <t>Discovery &amp; PA1</t>
        </is>
      </c>
      <c r="G6" s="2" t="inlineStr">
        <is>
          <t>CIN-T-001</t>
        </is>
      </c>
      <c r="H6" s="2" t="inlineStr">
        <is>
          <t>24120271</t>
        </is>
      </c>
      <c r="I6" s="2" t="inlineStr">
        <is>
          <t>Nguyen Trung Chinh</t>
        </is>
      </c>
      <c r="J6" s="2" t="inlineStr">
        <is>
          <t>Sprint 1</t>
        </is>
      </c>
      <c r="K6" s="2" t="inlineStr">
        <is>
          <t>24120255</t>
        </is>
      </c>
      <c r="L6" s="2" t="inlineStr">
        <is>
          <t>Tran Thien An</t>
        </is>
      </c>
      <c r="M6" s="3" t="n">
        <v>46298</v>
      </c>
      <c r="N6" s="3" t="n">
        <v>46311</v>
      </c>
      <c r="O6" s="2" t="n">
        <v>2</v>
      </c>
      <c r="P6" s="2" t="inlineStr">
        <is>
          <t>ORIG-003</t>
        </is>
      </c>
      <c r="Q6" s="2" t="inlineStr">
        <is>
          <t>High</t>
        </is>
      </c>
      <c r="R6" s="2" t="inlineStr">
        <is>
          <t>Planned</t>
        </is>
      </c>
    </row>
    <row r="7">
      <c r="A7" s="2" t="inlineStr">
        <is>
          <t>Sub-task</t>
        </is>
      </c>
      <c r="B7" s="2" t="inlineStr">
        <is>
          <t>CIN-SUB-004</t>
        </is>
      </c>
      <c r="C7" s="2" t="inlineStr">
        <is>
          <t>CIN-T-001</t>
        </is>
      </c>
      <c r="D7" s="2" t="inlineStr">
        <is>
          <t>Xác định nghiệp vụ chính</t>
        </is>
      </c>
      <c r="E7" s="2" t="inlineStr">
        <is>
          <t>PH-01</t>
        </is>
      </c>
      <c r="F7" s="2" t="inlineStr">
        <is>
          <t>Discovery &amp; PA1</t>
        </is>
      </c>
      <c r="G7" s="2" t="inlineStr">
        <is>
          <t>CIN-T-001</t>
        </is>
      </c>
      <c r="H7" s="2" t="inlineStr">
        <is>
          <t>24120271</t>
        </is>
      </c>
      <c r="I7" s="2" t="inlineStr">
        <is>
          <t>Nguyen Trung Chinh</t>
        </is>
      </c>
      <c r="J7" s="2" t="inlineStr">
        <is>
          <t>Sprint 1</t>
        </is>
      </c>
      <c r="K7" s="2" t="inlineStr">
        <is>
          <t>24120235</t>
        </is>
      </c>
      <c r="L7" s="2" t="inlineStr">
        <is>
          <t>Huynh Thanh Tu</t>
        </is>
      </c>
      <c r="M7" s="3" t="n">
        <v>46298</v>
      </c>
      <c r="N7" s="3" t="n">
        <v>46311</v>
      </c>
      <c r="O7" s="2" t="n">
        <v>2</v>
      </c>
      <c r="P7" s="2" t="inlineStr">
        <is>
          <t>ORIG-004</t>
        </is>
      </c>
      <c r="Q7" s="2" t="inlineStr">
        <is>
          <t>High</t>
        </is>
      </c>
      <c r="R7" s="2" t="inlineStr">
        <is>
          <t>Planned</t>
        </is>
      </c>
    </row>
    <row r="8">
      <c r="A8" s="6" t="inlineStr">
        <is>
          <t>Task</t>
        </is>
      </c>
      <c r="B8" s="6" t="inlineStr">
        <is>
          <t>CIN-T-002</t>
        </is>
      </c>
      <c r="C8" s="6" t="inlineStr">
        <is>
          <t>PH-01</t>
        </is>
      </c>
      <c r="D8" s="6" t="inlineStr">
        <is>
          <t>Đặc tả luồng nghiệp vụ khách hàng và quản trị</t>
        </is>
      </c>
      <c r="E8" s="6" t="inlineStr">
        <is>
          <t>PH-01</t>
        </is>
      </c>
      <c r="F8" s="6" t="inlineStr">
        <is>
          <t>Discovery &amp; PA1</t>
        </is>
      </c>
      <c r="G8" s="6" t="inlineStr">
        <is>
          <t>CIN-T-002</t>
        </is>
      </c>
      <c r="H8" s="6" t="inlineStr">
        <is>
          <t>24120098</t>
        </is>
      </c>
      <c r="I8" s="6" t="inlineStr">
        <is>
          <t>Nguyen Quoc Nam</t>
        </is>
      </c>
      <c r="J8" s="6" t="inlineStr">
        <is>
          <t>Sprint 1</t>
        </is>
      </c>
      <c r="K8" s="6" t="inlineStr"/>
      <c r="L8" s="6" t="inlineStr"/>
      <c r="M8" s="7" t="n">
        <v>46298</v>
      </c>
      <c r="N8" s="7" t="n">
        <v>46311</v>
      </c>
      <c r="O8" s="6">
        <f>SUMIFS('Master Subtasks'!$V$2:$V$293,'Master Subtasks'!$L$2:$L$293,$B8)</f>
        <v/>
      </c>
      <c r="P8" s="6" t="inlineStr"/>
      <c r="Q8" s="6" t="inlineStr">
        <is>
          <t>High</t>
        </is>
      </c>
      <c r="R8" s="6" t="inlineStr">
        <is>
          <t>Planned</t>
        </is>
      </c>
    </row>
    <row r="9">
      <c r="A9" s="2" t="inlineStr">
        <is>
          <t>Sub-task</t>
        </is>
      </c>
      <c r="B9" s="2" t="inlineStr">
        <is>
          <t>CIN-SUB-005</t>
        </is>
      </c>
      <c r="C9" s="2" t="inlineStr">
        <is>
          <t>CIN-T-002</t>
        </is>
      </c>
      <c r="D9" s="2" t="inlineStr">
        <is>
          <t>Xác định đối tượng dữ liệu</t>
        </is>
      </c>
      <c r="E9" s="2" t="inlineStr">
        <is>
          <t>PH-01</t>
        </is>
      </c>
      <c r="F9" s="2" t="inlineStr">
        <is>
          <t>Discovery &amp; PA1</t>
        </is>
      </c>
      <c r="G9" s="2" t="inlineStr">
        <is>
          <t>CIN-T-002</t>
        </is>
      </c>
      <c r="H9" s="2" t="inlineStr">
        <is>
          <t>24120098</t>
        </is>
      </c>
      <c r="I9" s="2" t="inlineStr">
        <is>
          <t>Nguyen Quoc Nam</t>
        </is>
      </c>
      <c r="J9" s="2" t="inlineStr">
        <is>
          <t>Sprint 1</t>
        </is>
      </c>
      <c r="K9" s="2" t="inlineStr">
        <is>
          <t>24120098</t>
        </is>
      </c>
      <c r="L9" s="2" t="inlineStr">
        <is>
          <t>Nguyen Quoc Nam</t>
        </is>
      </c>
      <c r="M9" s="3" t="n">
        <v>46298</v>
      </c>
      <c r="N9" s="3" t="n">
        <v>46311</v>
      </c>
      <c r="O9" s="2" t="n">
        <v>2</v>
      </c>
      <c r="P9" s="2" t="inlineStr">
        <is>
          <t>ORIG-005</t>
        </is>
      </c>
      <c r="Q9" s="2" t="inlineStr">
        <is>
          <t>High</t>
        </is>
      </c>
      <c r="R9" s="2" t="inlineStr">
        <is>
          <t>Planned</t>
        </is>
      </c>
    </row>
    <row r="10">
      <c r="A10" s="2" t="inlineStr">
        <is>
          <t>Sub-task</t>
        </is>
      </c>
      <c r="B10" s="2" t="inlineStr">
        <is>
          <t>CIN-SUB-006</t>
        </is>
      </c>
      <c r="C10" s="2" t="inlineStr">
        <is>
          <t>CIN-T-002</t>
        </is>
      </c>
      <c r="D10" s="2" t="inlineStr">
        <is>
          <t>Phân tích luồng khách hàng</t>
        </is>
      </c>
      <c r="E10" s="2" t="inlineStr">
        <is>
          <t>PH-01</t>
        </is>
      </c>
      <c r="F10" s="2" t="inlineStr">
        <is>
          <t>Discovery &amp; PA1</t>
        </is>
      </c>
      <c r="G10" s="2" t="inlineStr">
        <is>
          <t>CIN-T-002</t>
        </is>
      </c>
      <c r="H10" s="2" t="inlineStr">
        <is>
          <t>24120098</t>
        </is>
      </c>
      <c r="I10" s="2" t="inlineStr">
        <is>
          <t>Nguyen Quoc Nam</t>
        </is>
      </c>
      <c r="J10" s="2" t="inlineStr">
        <is>
          <t>Sprint 1</t>
        </is>
      </c>
      <c r="K10" s="2" t="inlineStr">
        <is>
          <t>24120271</t>
        </is>
      </c>
      <c r="L10" s="2" t="inlineStr">
        <is>
          <t>Nguyen Trung Chinh</t>
        </is>
      </c>
      <c r="M10" s="3" t="n">
        <v>46298</v>
      </c>
      <c r="N10" s="3" t="n">
        <v>46311</v>
      </c>
      <c r="O10" s="2" t="n">
        <v>2</v>
      </c>
      <c r="P10" s="2" t="inlineStr">
        <is>
          <t>ORIG-006</t>
        </is>
      </c>
      <c r="Q10" s="2" t="inlineStr">
        <is>
          <t>High</t>
        </is>
      </c>
      <c r="R10" s="2" t="inlineStr">
        <is>
          <t>Planned</t>
        </is>
      </c>
    </row>
    <row r="11">
      <c r="A11" s="2" t="inlineStr">
        <is>
          <t>Sub-task</t>
        </is>
      </c>
      <c r="B11" s="2" t="inlineStr">
        <is>
          <t>CIN-SUB-007</t>
        </is>
      </c>
      <c r="C11" s="2" t="inlineStr">
        <is>
          <t>CIN-T-002</t>
        </is>
      </c>
      <c r="D11" s="2" t="inlineStr">
        <is>
          <t>Phân tích luồng quản trị</t>
        </is>
      </c>
      <c r="E11" s="2" t="inlineStr">
        <is>
          <t>PH-01</t>
        </is>
      </c>
      <c r="F11" s="2" t="inlineStr">
        <is>
          <t>Discovery &amp; PA1</t>
        </is>
      </c>
      <c r="G11" s="2" t="inlineStr">
        <is>
          <t>CIN-T-002</t>
        </is>
      </c>
      <c r="H11" s="2" t="inlineStr">
        <is>
          <t>24120098</t>
        </is>
      </c>
      <c r="I11" s="2" t="inlineStr">
        <is>
          <t>Nguyen Quoc Nam</t>
        </is>
      </c>
      <c r="J11" s="2" t="inlineStr">
        <is>
          <t>Sprint 1</t>
        </is>
      </c>
      <c r="K11" s="2" t="inlineStr">
        <is>
          <t>24120244</t>
        </is>
      </c>
      <c r="L11" s="2" t="inlineStr">
        <is>
          <t>Phan Van Viet</t>
        </is>
      </c>
      <c r="M11" s="3" t="n">
        <v>46298</v>
      </c>
      <c r="N11" s="3" t="n">
        <v>46311</v>
      </c>
      <c r="O11" s="2" t="n">
        <v>3</v>
      </c>
      <c r="P11" s="2" t="inlineStr">
        <is>
          <t>ORIG-007</t>
        </is>
      </c>
      <c r="Q11" s="2" t="inlineStr">
        <is>
          <t>High</t>
        </is>
      </c>
      <c r="R11" s="2" t="inlineStr">
        <is>
          <t>Planned</t>
        </is>
      </c>
    </row>
    <row r="12">
      <c r="A12" s="2" t="inlineStr">
        <is>
          <t>Sub-task</t>
        </is>
      </c>
      <c r="B12" s="2" t="inlineStr">
        <is>
          <t>CIN-SUB-008</t>
        </is>
      </c>
      <c r="C12" s="2" t="inlineStr">
        <is>
          <t>CIN-T-002</t>
        </is>
      </c>
      <c r="D12" s="2" t="inlineStr">
        <is>
          <t>Phân tích nghiệp vụ đặt vé</t>
        </is>
      </c>
      <c r="E12" s="2" t="inlineStr">
        <is>
          <t>PH-01</t>
        </is>
      </c>
      <c r="F12" s="2" t="inlineStr">
        <is>
          <t>Discovery &amp; PA1</t>
        </is>
      </c>
      <c r="G12" s="2" t="inlineStr">
        <is>
          <t>CIN-T-002</t>
        </is>
      </c>
      <c r="H12" s="2" t="inlineStr">
        <is>
          <t>24120098</t>
        </is>
      </c>
      <c r="I12" s="2" t="inlineStr">
        <is>
          <t>Nguyen Quoc Nam</t>
        </is>
      </c>
      <c r="J12" s="2" t="inlineStr">
        <is>
          <t>Sprint 1</t>
        </is>
      </c>
      <c r="K12" s="2" t="inlineStr">
        <is>
          <t>24120255</t>
        </is>
      </c>
      <c r="L12" s="2" t="inlineStr">
        <is>
          <t>Tran Thien An</t>
        </is>
      </c>
      <c r="M12" s="3" t="n">
        <v>46298</v>
      </c>
      <c r="N12" s="3" t="n">
        <v>46311</v>
      </c>
      <c r="O12" s="2" t="n">
        <v>2</v>
      </c>
      <c r="P12" s="2" t="inlineStr">
        <is>
          <t>ORIG-008</t>
        </is>
      </c>
      <c r="Q12" s="2" t="inlineStr">
        <is>
          <t>High</t>
        </is>
      </c>
      <c r="R12" s="2" t="inlineStr">
        <is>
          <t>Planned</t>
        </is>
      </c>
    </row>
    <row r="13">
      <c r="A13" s="2" t="inlineStr">
        <is>
          <t>Sub-task</t>
        </is>
      </c>
      <c r="B13" s="2" t="inlineStr">
        <is>
          <t>CIN-SUB-009</t>
        </is>
      </c>
      <c r="C13" s="2" t="inlineStr">
        <is>
          <t>CIN-T-002</t>
        </is>
      </c>
      <c r="D13" s="2" t="inlineStr">
        <is>
          <t>Phân tích nghiệp vụ phòng chiếu</t>
        </is>
      </c>
      <c r="E13" s="2" t="inlineStr">
        <is>
          <t>PH-01</t>
        </is>
      </c>
      <c r="F13" s="2" t="inlineStr">
        <is>
          <t>Discovery &amp; PA1</t>
        </is>
      </c>
      <c r="G13" s="2" t="inlineStr">
        <is>
          <t>CIN-T-002</t>
        </is>
      </c>
      <c r="H13" s="2" t="inlineStr">
        <is>
          <t>24120098</t>
        </is>
      </c>
      <c r="I13" s="2" t="inlineStr">
        <is>
          <t>Nguyen Quoc Nam</t>
        </is>
      </c>
      <c r="J13" s="2" t="inlineStr">
        <is>
          <t>Sprint 1</t>
        </is>
      </c>
      <c r="K13" s="2" t="inlineStr">
        <is>
          <t>24120235</t>
        </is>
      </c>
      <c r="L13" s="2" t="inlineStr">
        <is>
          <t>Huynh Thanh Tu</t>
        </is>
      </c>
      <c r="M13" s="3" t="n">
        <v>46298</v>
      </c>
      <c r="N13" s="3" t="n">
        <v>46311</v>
      </c>
      <c r="O13" s="2" t="n">
        <v>2</v>
      </c>
      <c r="P13" s="2" t="inlineStr">
        <is>
          <t>ORIG-009</t>
        </is>
      </c>
      <c r="Q13" s="2" t="inlineStr">
        <is>
          <t>High</t>
        </is>
      </c>
      <c r="R13" s="2" t="inlineStr">
        <is>
          <t>Planned</t>
        </is>
      </c>
    </row>
    <row r="14">
      <c r="A14" s="2" t="inlineStr">
        <is>
          <t>Sub-task</t>
        </is>
      </c>
      <c r="B14" s="2" t="inlineStr">
        <is>
          <t>CIN-SUB-010</t>
        </is>
      </c>
      <c r="C14" s="2" t="inlineStr">
        <is>
          <t>CIN-T-002</t>
        </is>
      </c>
      <c r="D14" s="2" t="inlineStr">
        <is>
          <t>Phân tích nghiệp vụ lịch chiếu</t>
        </is>
      </c>
      <c r="E14" s="2" t="inlineStr">
        <is>
          <t>PH-01</t>
        </is>
      </c>
      <c r="F14" s="2" t="inlineStr">
        <is>
          <t>Discovery &amp; PA1</t>
        </is>
      </c>
      <c r="G14" s="2" t="inlineStr">
        <is>
          <t>CIN-T-002</t>
        </is>
      </c>
      <c r="H14" s="2" t="inlineStr">
        <is>
          <t>24120098</t>
        </is>
      </c>
      <c r="I14" s="2" t="inlineStr">
        <is>
          <t>Nguyen Quoc Nam</t>
        </is>
      </c>
      <c r="J14" s="2" t="inlineStr">
        <is>
          <t>Sprint 1</t>
        </is>
      </c>
      <c r="K14" s="2" t="inlineStr">
        <is>
          <t>24120098</t>
        </is>
      </c>
      <c r="L14" s="2" t="inlineStr">
        <is>
          <t>Nguyen Quoc Nam</t>
        </is>
      </c>
      <c r="M14" s="3" t="n">
        <v>46298</v>
      </c>
      <c r="N14" s="3" t="n">
        <v>46311</v>
      </c>
      <c r="O14" s="2" t="n">
        <v>2</v>
      </c>
      <c r="P14" s="2" t="inlineStr">
        <is>
          <t>ORIG-010</t>
        </is>
      </c>
      <c r="Q14" s="2" t="inlineStr">
        <is>
          <t>High</t>
        </is>
      </c>
      <c r="R14" s="2" t="inlineStr">
        <is>
          <t>Planned</t>
        </is>
      </c>
    </row>
    <row r="15">
      <c r="A15" s="2" t="inlineStr">
        <is>
          <t>Sub-task</t>
        </is>
      </c>
      <c r="B15" s="2" t="inlineStr">
        <is>
          <t>CIN-SUB-011</t>
        </is>
      </c>
      <c r="C15" s="2" t="inlineStr">
        <is>
          <t>CIN-T-002</t>
        </is>
      </c>
      <c r="D15" s="2" t="inlineStr">
        <is>
          <t>Phân tích nghiệp vụ thanh toán</t>
        </is>
      </c>
      <c r="E15" s="2" t="inlineStr">
        <is>
          <t>PH-01</t>
        </is>
      </c>
      <c r="F15" s="2" t="inlineStr">
        <is>
          <t>Discovery &amp; PA1</t>
        </is>
      </c>
      <c r="G15" s="2" t="inlineStr">
        <is>
          <t>CIN-T-002</t>
        </is>
      </c>
      <c r="H15" s="2" t="inlineStr">
        <is>
          <t>24120098</t>
        </is>
      </c>
      <c r="I15" s="2" t="inlineStr">
        <is>
          <t>Nguyen Quoc Nam</t>
        </is>
      </c>
      <c r="J15" s="2" t="inlineStr">
        <is>
          <t>Sprint 1</t>
        </is>
      </c>
      <c r="K15" s="2" t="inlineStr">
        <is>
          <t>24120271</t>
        </is>
      </c>
      <c r="L15" s="2" t="inlineStr">
        <is>
          <t>Nguyen Trung Chinh</t>
        </is>
      </c>
      <c r="M15" s="3" t="n">
        <v>46298</v>
      </c>
      <c r="N15" s="3" t="n">
        <v>46311</v>
      </c>
      <c r="O15" s="2" t="n">
        <v>2</v>
      </c>
      <c r="P15" s="2" t="inlineStr">
        <is>
          <t>ORIG-011</t>
        </is>
      </c>
      <c r="Q15" s="2" t="inlineStr">
        <is>
          <t>High</t>
        </is>
      </c>
      <c r="R15" s="2" t="inlineStr">
        <is>
          <t>Planned</t>
        </is>
      </c>
    </row>
    <row r="16">
      <c r="A16" s="6" t="inlineStr">
        <is>
          <t>Task</t>
        </is>
      </c>
      <c r="B16" s="6" t="inlineStr">
        <is>
          <t>CIN-T-003</t>
        </is>
      </c>
      <c r="C16" s="6" t="inlineStr">
        <is>
          <t>PH-01</t>
        </is>
      </c>
      <c r="D16" s="6" t="inlineStr">
        <is>
          <t>Baseline yêu cầu, use case và kiến trúc sơ bộ</t>
        </is>
      </c>
      <c r="E16" s="6" t="inlineStr">
        <is>
          <t>PH-01</t>
        </is>
      </c>
      <c r="F16" s="6" t="inlineStr">
        <is>
          <t>Discovery &amp; PA1</t>
        </is>
      </c>
      <c r="G16" s="6" t="inlineStr">
        <is>
          <t>CIN-T-003</t>
        </is>
      </c>
      <c r="H16" s="6" t="inlineStr">
        <is>
          <t>24120255</t>
        </is>
      </c>
      <c r="I16" s="6" t="inlineStr">
        <is>
          <t>Tran Thien An</t>
        </is>
      </c>
      <c r="J16" s="6" t="inlineStr">
        <is>
          <t>Sprint 1</t>
        </is>
      </c>
      <c r="K16" s="6" t="inlineStr"/>
      <c r="L16" s="6" t="inlineStr"/>
      <c r="M16" s="7" t="n">
        <v>46298</v>
      </c>
      <c r="N16" s="7" t="n">
        <v>46311</v>
      </c>
      <c r="O16" s="6">
        <f>SUMIFS('Master Subtasks'!$V$2:$V$293,'Master Subtasks'!$L$2:$L$293,$B16)</f>
        <v/>
      </c>
      <c r="P16" s="6" t="inlineStr"/>
      <c r="Q16" s="6" t="inlineStr">
        <is>
          <t>High</t>
        </is>
      </c>
      <c r="R16" s="6" t="inlineStr">
        <is>
          <t>Planned</t>
        </is>
      </c>
    </row>
    <row r="17">
      <c r="A17" s="2" t="inlineStr">
        <is>
          <t>Sub-task</t>
        </is>
      </c>
      <c r="B17" s="2" t="inlineStr">
        <is>
          <t>CIN-SUB-012</t>
        </is>
      </c>
      <c r="C17" s="2" t="inlineStr">
        <is>
          <t>CIN-T-003</t>
        </is>
      </c>
      <c r="D17" s="2" t="inlineStr">
        <is>
          <t>Xác định chức năng hệ thống</t>
        </is>
      </c>
      <c r="E17" s="2" t="inlineStr">
        <is>
          <t>PH-01</t>
        </is>
      </c>
      <c r="F17" s="2" t="inlineStr">
        <is>
          <t>Discovery &amp; PA1</t>
        </is>
      </c>
      <c r="G17" s="2" t="inlineStr">
        <is>
          <t>CIN-T-003</t>
        </is>
      </c>
      <c r="H17" s="2" t="inlineStr">
        <is>
          <t>24120255</t>
        </is>
      </c>
      <c r="I17" s="2" t="inlineStr">
        <is>
          <t>Tran Thien An</t>
        </is>
      </c>
      <c r="J17" s="2" t="inlineStr">
        <is>
          <t>Sprint 1</t>
        </is>
      </c>
      <c r="K17" s="2" t="inlineStr">
        <is>
          <t>24120255</t>
        </is>
      </c>
      <c r="L17" s="2" t="inlineStr">
        <is>
          <t>Tran Thien An</t>
        </is>
      </c>
      <c r="M17" s="3" t="n">
        <v>46298</v>
      </c>
      <c r="N17" s="3" t="n">
        <v>46311</v>
      </c>
      <c r="O17" s="2" t="n">
        <v>2</v>
      </c>
      <c r="P17" s="2" t="inlineStr">
        <is>
          <t>ORIG-012</t>
        </is>
      </c>
      <c r="Q17" s="2" t="inlineStr">
        <is>
          <t>High</t>
        </is>
      </c>
      <c r="R17" s="2" t="inlineStr">
        <is>
          <t>Planned</t>
        </is>
      </c>
    </row>
    <row r="18">
      <c r="A18" s="2" t="inlineStr">
        <is>
          <t>Sub-task</t>
        </is>
      </c>
      <c r="B18" s="2" t="inlineStr">
        <is>
          <t>CIN-SUB-013</t>
        </is>
      </c>
      <c r="C18" s="2" t="inlineStr">
        <is>
          <t>CIN-T-003</t>
        </is>
      </c>
      <c r="D18" s="2" t="inlineStr">
        <is>
          <t>Xác định yêu cầu phi chức năng</t>
        </is>
      </c>
      <c r="E18" s="2" t="inlineStr">
        <is>
          <t>PH-01</t>
        </is>
      </c>
      <c r="F18" s="2" t="inlineStr">
        <is>
          <t>Discovery &amp; PA1</t>
        </is>
      </c>
      <c r="G18" s="2" t="inlineStr">
        <is>
          <t>CIN-T-003</t>
        </is>
      </c>
      <c r="H18" s="2" t="inlineStr">
        <is>
          <t>24120255</t>
        </is>
      </c>
      <c r="I18" s="2" t="inlineStr">
        <is>
          <t>Tran Thien An</t>
        </is>
      </c>
      <c r="J18" s="2" t="inlineStr">
        <is>
          <t>Sprint 1</t>
        </is>
      </c>
      <c r="K18" s="2" t="inlineStr">
        <is>
          <t>24120235</t>
        </is>
      </c>
      <c r="L18" s="2" t="inlineStr">
        <is>
          <t>Huynh Thanh Tu</t>
        </is>
      </c>
      <c r="M18" s="3" t="n">
        <v>46298</v>
      </c>
      <c r="N18" s="3" t="n">
        <v>46311</v>
      </c>
      <c r="O18" s="2" t="n">
        <v>3</v>
      </c>
      <c r="P18" s="2" t="inlineStr">
        <is>
          <t>ORIG-013</t>
        </is>
      </c>
      <c r="Q18" s="2" t="inlineStr">
        <is>
          <t>High</t>
        </is>
      </c>
      <c r="R18" s="2" t="inlineStr">
        <is>
          <t>Planned</t>
        </is>
      </c>
    </row>
    <row r="19">
      <c r="A19" s="2" t="inlineStr">
        <is>
          <t>Sub-task</t>
        </is>
      </c>
      <c r="B19" s="2" t="inlineStr">
        <is>
          <t>CIN-SUB-014</t>
        </is>
      </c>
      <c r="C19" s="2" t="inlineStr">
        <is>
          <t>CIN-T-003</t>
        </is>
      </c>
      <c r="D19" s="2" t="inlineStr">
        <is>
          <t>Xây dựng Use Case</t>
        </is>
      </c>
      <c r="E19" s="2" t="inlineStr">
        <is>
          <t>PH-01</t>
        </is>
      </c>
      <c r="F19" s="2" t="inlineStr">
        <is>
          <t>Discovery &amp; PA1</t>
        </is>
      </c>
      <c r="G19" s="2" t="inlineStr">
        <is>
          <t>CIN-T-003</t>
        </is>
      </c>
      <c r="H19" s="2" t="inlineStr">
        <is>
          <t>24120255</t>
        </is>
      </c>
      <c r="I19" s="2" t="inlineStr">
        <is>
          <t>Tran Thien An</t>
        </is>
      </c>
      <c r="J19" s="2" t="inlineStr">
        <is>
          <t>Sprint 1</t>
        </is>
      </c>
      <c r="K19" s="2" t="inlineStr">
        <is>
          <t>24120098</t>
        </is>
      </c>
      <c r="L19" s="2" t="inlineStr">
        <is>
          <t>Nguyen Quoc Nam</t>
        </is>
      </c>
      <c r="M19" s="3" t="n">
        <v>46298</v>
      </c>
      <c r="N19" s="3" t="n">
        <v>46311</v>
      </c>
      <c r="O19" s="2" t="n">
        <v>2</v>
      </c>
      <c r="P19" s="2" t="inlineStr">
        <is>
          <t>ORIG-014</t>
        </is>
      </c>
      <c r="Q19" s="2" t="inlineStr">
        <is>
          <t>High</t>
        </is>
      </c>
      <c r="R19" s="2" t="inlineStr">
        <is>
          <t>Planned</t>
        </is>
      </c>
    </row>
    <row r="20">
      <c r="A20" s="2" t="inlineStr">
        <is>
          <t>Sub-task</t>
        </is>
      </c>
      <c r="B20" s="2" t="inlineStr">
        <is>
          <t>CIN-SUB-015</t>
        </is>
      </c>
      <c r="C20" s="2" t="inlineStr">
        <is>
          <t>CIN-T-003</t>
        </is>
      </c>
      <c r="D20" s="2" t="inlineStr">
        <is>
          <t>Xây dựng Activity Diagram</t>
        </is>
      </c>
      <c r="E20" s="2" t="inlineStr">
        <is>
          <t>PH-01</t>
        </is>
      </c>
      <c r="F20" s="2" t="inlineStr">
        <is>
          <t>Discovery &amp; PA1</t>
        </is>
      </c>
      <c r="G20" s="2" t="inlineStr">
        <is>
          <t>CIN-T-003</t>
        </is>
      </c>
      <c r="H20" s="2" t="inlineStr">
        <is>
          <t>24120255</t>
        </is>
      </c>
      <c r="I20" s="2" t="inlineStr">
        <is>
          <t>Tran Thien An</t>
        </is>
      </c>
      <c r="J20" s="2" t="inlineStr">
        <is>
          <t>Sprint 1</t>
        </is>
      </c>
      <c r="K20" s="2" t="inlineStr">
        <is>
          <t>24120244</t>
        </is>
      </c>
      <c r="L20" s="2" t="inlineStr">
        <is>
          <t>Phan Van Viet</t>
        </is>
      </c>
      <c r="M20" s="3" t="n">
        <v>46298</v>
      </c>
      <c r="N20" s="3" t="n">
        <v>46311</v>
      </c>
      <c r="O20" s="2" t="n">
        <v>2</v>
      </c>
      <c r="P20" s="2" t="inlineStr">
        <is>
          <t>ORIG-015</t>
        </is>
      </c>
      <c r="Q20" s="2" t="inlineStr">
        <is>
          <t>High</t>
        </is>
      </c>
      <c r="R20" s="2" t="inlineStr">
        <is>
          <t>Planned</t>
        </is>
      </c>
    </row>
    <row r="21">
      <c r="A21" s="2" t="inlineStr">
        <is>
          <t>Sub-task</t>
        </is>
      </c>
      <c r="B21" s="2" t="inlineStr">
        <is>
          <t>CIN-SUB-016</t>
        </is>
      </c>
      <c r="C21" s="2" t="inlineStr">
        <is>
          <t>CIN-T-003</t>
        </is>
      </c>
      <c r="D21" s="2" t="inlineStr">
        <is>
          <t>Xây dựng Sequence Diagram</t>
        </is>
      </c>
      <c r="E21" s="2" t="inlineStr">
        <is>
          <t>PH-01</t>
        </is>
      </c>
      <c r="F21" s="2" t="inlineStr">
        <is>
          <t>Discovery &amp; PA1</t>
        </is>
      </c>
      <c r="G21" s="2" t="inlineStr">
        <is>
          <t>CIN-T-003</t>
        </is>
      </c>
      <c r="H21" s="2" t="inlineStr">
        <is>
          <t>24120255</t>
        </is>
      </c>
      <c r="I21" s="2" t="inlineStr">
        <is>
          <t>Tran Thien An</t>
        </is>
      </c>
      <c r="J21" s="2" t="inlineStr">
        <is>
          <t>Sprint 1</t>
        </is>
      </c>
      <c r="K21" s="2" t="inlineStr">
        <is>
          <t>24120271</t>
        </is>
      </c>
      <c r="L21" s="2" t="inlineStr">
        <is>
          <t>Nguyen Trung Chinh</t>
        </is>
      </c>
      <c r="M21" s="3" t="n">
        <v>46298</v>
      </c>
      <c r="N21" s="3" t="n">
        <v>46311</v>
      </c>
      <c r="O21" s="2" t="n">
        <v>3</v>
      </c>
      <c r="P21" s="2" t="inlineStr">
        <is>
          <t>ORIG-016</t>
        </is>
      </c>
      <c r="Q21" s="2" t="inlineStr">
        <is>
          <t>High</t>
        </is>
      </c>
      <c r="R21" s="2" t="inlineStr">
        <is>
          <t>Planned</t>
        </is>
      </c>
    </row>
    <row r="22">
      <c r="A22" s="2" t="inlineStr">
        <is>
          <t>Sub-task</t>
        </is>
      </c>
      <c r="B22" s="2" t="inlineStr">
        <is>
          <t>CIN-SUB-017</t>
        </is>
      </c>
      <c r="C22" s="2" t="inlineStr">
        <is>
          <t>CIN-T-003</t>
        </is>
      </c>
      <c r="D22" s="2" t="inlineStr">
        <is>
          <t>Thiết kế kiến trúc hệ thống</t>
        </is>
      </c>
      <c r="E22" s="2" t="inlineStr">
        <is>
          <t>PH-01</t>
        </is>
      </c>
      <c r="F22" s="2" t="inlineStr">
        <is>
          <t>Discovery &amp; PA1</t>
        </is>
      </c>
      <c r="G22" s="2" t="inlineStr">
        <is>
          <t>CIN-T-003</t>
        </is>
      </c>
      <c r="H22" s="2" t="inlineStr">
        <is>
          <t>24120255</t>
        </is>
      </c>
      <c r="I22" s="2" t="inlineStr">
        <is>
          <t>Tran Thien An</t>
        </is>
      </c>
      <c r="J22" s="2" t="inlineStr">
        <is>
          <t>Sprint 1</t>
        </is>
      </c>
      <c r="K22" s="2" t="inlineStr">
        <is>
          <t>24120255</t>
        </is>
      </c>
      <c r="L22" s="2" t="inlineStr">
        <is>
          <t>Tran Thien An</t>
        </is>
      </c>
      <c r="M22" s="3" t="n">
        <v>46298</v>
      </c>
      <c r="N22" s="3" t="n">
        <v>46311</v>
      </c>
      <c r="O22" s="2" t="n">
        <v>3</v>
      </c>
      <c r="P22" s="2" t="inlineStr">
        <is>
          <t>ORIG-017</t>
        </is>
      </c>
      <c r="Q22" s="2" t="inlineStr">
        <is>
          <t>High</t>
        </is>
      </c>
      <c r="R22" s="2" t="inlineStr">
        <is>
          <t>Planned</t>
        </is>
      </c>
    </row>
    <row r="23">
      <c r="A23" s="6" t="inlineStr">
        <is>
          <t>Task</t>
        </is>
      </c>
      <c r="B23" s="6" t="inlineStr">
        <is>
          <t>CIN-T-012</t>
        </is>
      </c>
      <c r="C23" s="6" t="inlineStr">
        <is>
          <t>PH-01</t>
        </is>
      </c>
      <c r="D23" s="6" t="inlineStr">
        <is>
          <t>Thiết lập quy tắc cộng tác và cấu trúc repository</t>
        </is>
      </c>
      <c r="E23" s="6" t="inlineStr">
        <is>
          <t>PH-01</t>
        </is>
      </c>
      <c r="F23" s="6" t="inlineStr">
        <is>
          <t>Discovery &amp; PA1</t>
        </is>
      </c>
      <c r="G23" s="6" t="inlineStr">
        <is>
          <t>CIN-T-012</t>
        </is>
      </c>
      <c r="H23" s="6" t="inlineStr">
        <is>
          <t>24120098</t>
        </is>
      </c>
      <c r="I23" s="6" t="inlineStr">
        <is>
          <t>Nguyen Quoc Nam</t>
        </is>
      </c>
      <c r="J23" s="6" t="inlineStr">
        <is>
          <t>Sprint 1</t>
        </is>
      </c>
      <c r="K23" s="6" t="inlineStr"/>
      <c r="L23" s="6" t="inlineStr"/>
      <c r="M23" s="7" t="n">
        <v>46298</v>
      </c>
      <c r="N23" s="7" t="n">
        <v>46311</v>
      </c>
      <c r="O23" s="6">
        <f>SUMIFS('Master Subtasks'!$V$2:$V$293,'Master Subtasks'!$L$2:$L$293,$B23)</f>
        <v/>
      </c>
      <c r="P23" s="6" t="inlineStr"/>
      <c r="Q23" s="6" t="inlineStr">
        <is>
          <t>Medium</t>
        </is>
      </c>
      <c r="R23" s="6" t="inlineStr">
        <is>
          <t>Planned</t>
        </is>
      </c>
    </row>
    <row r="24">
      <c r="A24" s="2" t="inlineStr">
        <is>
          <t>Sub-task</t>
        </is>
      </c>
      <c r="B24" s="2" t="inlineStr">
        <is>
          <t>CIN-SUB-072</t>
        </is>
      </c>
      <c r="C24" s="2" t="inlineStr">
        <is>
          <t>CIN-T-012</t>
        </is>
      </c>
      <c r="D24" s="2" t="inlineStr">
        <is>
          <t>Git Branching</t>
        </is>
      </c>
      <c r="E24" s="2" t="inlineStr">
        <is>
          <t>PH-01</t>
        </is>
      </c>
      <c r="F24" s="2" t="inlineStr">
        <is>
          <t>Discovery &amp; PA1</t>
        </is>
      </c>
      <c r="G24" s="2" t="inlineStr">
        <is>
          <t>CIN-T-012</t>
        </is>
      </c>
      <c r="H24" s="2" t="inlineStr">
        <is>
          <t>24120098</t>
        </is>
      </c>
      <c r="I24" s="2" t="inlineStr">
        <is>
          <t>Nguyen Quoc Nam</t>
        </is>
      </c>
      <c r="J24" s="2" t="inlineStr">
        <is>
          <t>Sprint 1</t>
        </is>
      </c>
      <c r="K24" s="2" t="inlineStr">
        <is>
          <t>24120098</t>
        </is>
      </c>
      <c r="L24" s="2" t="inlineStr">
        <is>
          <t>Nguyen Quoc Nam</t>
        </is>
      </c>
      <c r="M24" s="3" t="n">
        <v>46298</v>
      </c>
      <c r="N24" s="3" t="n">
        <v>46311</v>
      </c>
      <c r="O24" s="2" t="n">
        <v>1</v>
      </c>
      <c r="P24" s="2" t="inlineStr">
        <is>
          <t>ORIG-072</t>
        </is>
      </c>
      <c r="Q24" s="2" t="inlineStr">
        <is>
          <t>Medium</t>
        </is>
      </c>
      <c r="R24" s="2" t="inlineStr">
        <is>
          <t>Planned</t>
        </is>
      </c>
    </row>
    <row r="25">
      <c r="A25" s="2" t="inlineStr">
        <is>
          <t>Sub-task</t>
        </is>
      </c>
      <c r="B25" s="2" t="inlineStr">
        <is>
          <t>CIN-SUB-073</t>
        </is>
      </c>
      <c r="C25" s="2" t="inlineStr">
        <is>
          <t>CIN-T-012</t>
        </is>
      </c>
      <c r="D25" s="2" t="inlineStr">
        <is>
          <t>Commit Convention</t>
        </is>
      </c>
      <c r="E25" s="2" t="inlineStr">
        <is>
          <t>PH-01</t>
        </is>
      </c>
      <c r="F25" s="2" t="inlineStr">
        <is>
          <t>Discovery &amp; PA1</t>
        </is>
      </c>
      <c r="G25" s="2" t="inlineStr">
        <is>
          <t>CIN-T-012</t>
        </is>
      </c>
      <c r="H25" s="2" t="inlineStr">
        <is>
          <t>24120098</t>
        </is>
      </c>
      <c r="I25" s="2" t="inlineStr">
        <is>
          <t>Nguyen Quoc Nam</t>
        </is>
      </c>
      <c r="J25" s="2" t="inlineStr">
        <is>
          <t>Sprint 1</t>
        </is>
      </c>
      <c r="K25" s="2" t="inlineStr">
        <is>
          <t>24120244</t>
        </is>
      </c>
      <c r="L25" s="2" t="inlineStr">
        <is>
          <t>Phan Van Viet</t>
        </is>
      </c>
      <c r="M25" s="3" t="n">
        <v>46298</v>
      </c>
      <c r="N25" s="3" t="n">
        <v>46311</v>
      </c>
      <c r="O25" s="2" t="n">
        <v>1</v>
      </c>
      <c r="P25" s="2" t="inlineStr">
        <is>
          <t>ORIG-073</t>
        </is>
      </c>
      <c r="Q25" s="2" t="inlineStr">
        <is>
          <t>Medium</t>
        </is>
      </c>
      <c r="R25" s="2" t="inlineStr">
        <is>
          <t>Planned</t>
        </is>
      </c>
    </row>
    <row r="26">
      <c r="A26" s="2" t="inlineStr">
        <is>
          <t>Sub-task</t>
        </is>
      </c>
      <c r="B26" s="2" t="inlineStr">
        <is>
          <t>CIN-SUB-074</t>
        </is>
      </c>
      <c r="C26" s="2" t="inlineStr">
        <is>
          <t>CIN-T-012</t>
        </is>
      </c>
      <c r="D26" s="2" t="inlineStr">
        <is>
          <t>Pull Request</t>
        </is>
      </c>
      <c r="E26" s="2" t="inlineStr">
        <is>
          <t>PH-01</t>
        </is>
      </c>
      <c r="F26" s="2" t="inlineStr">
        <is>
          <t>Discovery &amp; PA1</t>
        </is>
      </c>
      <c r="G26" s="2" t="inlineStr">
        <is>
          <t>CIN-T-012</t>
        </is>
      </c>
      <c r="H26" s="2" t="inlineStr">
        <is>
          <t>24120098</t>
        </is>
      </c>
      <c r="I26" s="2" t="inlineStr">
        <is>
          <t>Nguyen Quoc Nam</t>
        </is>
      </c>
      <c r="J26" s="2" t="inlineStr">
        <is>
          <t>Sprint 1</t>
        </is>
      </c>
      <c r="K26" s="2" t="inlineStr">
        <is>
          <t>24120098</t>
        </is>
      </c>
      <c r="L26" s="2" t="inlineStr">
        <is>
          <t>Nguyen Quoc Nam</t>
        </is>
      </c>
      <c r="M26" s="3" t="n">
        <v>46298</v>
      </c>
      <c r="N26" s="3" t="n">
        <v>46311</v>
      </c>
      <c r="O26" s="2" t="n">
        <v>2</v>
      </c>
      <c r="P26" s="2" t="inlineStr">
        <is>
          <t>ORIG-074</t>
        </is>
      </c>
      <c r="Q26" s="2" t="inlineStr">
        <is>
          <t>Medium</t>
        </is>
      </c>
      <c r="R26" s="2" t="inlineStr">
        <is>
          <t>Planned</t>
        </is>
      </c>
    </row>
    <row r="27">
      <c r="A27" s="2" t="inlineStr">
        <is>
          <t>Sub-task</t>
        </is>
      </c>
      <c r="B27" s="2" t="inlineStr">
        <is>
          <t>CIN-SUB-075</t>
        </is>
      </c>
      <c r="C27" s="2" t="inlineStr">
        <is>
          <t>CIN-T-012</t>
        </is>
      </c>
      <c r="D27" s="2" t="inlineStr">
        <is>
          <t>Merge Conflict Handling</t>
        </is>
      </c>
      <c r="E27" s="2" t="inlineStr">
        <is>
          <t>PH-01</t>
        </is>
      </c>
      <c r="F27" s="2" t="inlineStr">
        <is>
          <t>Discovery &amp; PA1</t>
        </is>
      </c>
      <c r="G27" s="2" t="inlineStr">
        <is>
          <t>CIN-T-012</t>
        </is>
      </c>
      <c r="H27" s="2" t="inlineStr">
        <is>
          <t>24120098</t>
        </is>
      </c>
      <c r="I27" s="2" t="inlineStr">
        <is>
          <t>Nguyen Quoc Nam</t>
        </is>
      </c>
      <c r="J27" s="2" t="inlineStr">
        <is>
          <t>Sprint 1</t>
        </is>
      </c>
      <c r="K27" s="2" t="inlineStr">
        <is>
          <t>24120235</t>
        </is>
      </c>
      <c r="L27" s="2" t="inlineStr">
        <is>
          <t>Huynh Thanh Tu</t>
        </is>
      </c>
      <c r="M27" s="3" t="n">
        <v>46298</v>
      </c>
      <c r="N27" s="3" t="n">
        <v>46311</v>
      </c>
      <c r="O27" s="2" t="n">
        <v>1</v>
      </c>
      <c r="P27" s="2" t="inlineStr">
        <is>
          <t>ORIG-075</t>
        </is>
      </c>
      <c r="Q27" s="2" t="inlineStr">
        <is>
          <t>Medium</t>
        </is>
      </c>
      <c r="R27" s="2" t="inlineStr">
        <is>
          <t>Planned</t>
        </is>
      </c>
    </row>
    <row r="28">
      <c r="A28" s="2" t="inlineStr">
        <is>
          <t>Sub-task</t>
        </is>
      </c>
      <c r="B28" s="2" t="inlineStr">
        <is>
          <t>CIN-SUB-076</t>
        </is>
      </c>
      <c r="C28" s="2" t="inlineStr">
        <is>
          <t>CIN-T-012</t>
        </is>
      </c>
      <c r="D28" s="2" t="inlineStr">
        <is>
          <t>Repository Structure</t>
        </is>
      </c>
      <c r="E28" s="2" t="inlineStr">
        <is>
          <t>PH-01</t>
        </is>
      </c>
      <c r="F28" s="2" t="inlineStr">
        <is>
          <t>Discovery &amp; PA1</t>
        </is>
      </c>
      <c r="G28" s="2" t="inlineStr">
        <is>
          <t>CIN-T-012</t>
        </is>
      </c>
      <c r="H28" s="2" t="inlineStr">
        <is>
          <t>24120098</t>
        </is>
      </c>
      <c r="I28" s="2" t="inlineStr">
        <is>
          <t>Nguyen Quoc Nam</t>
        </is>
      </c>
      <c r="J28" s="2" t="inlineStr">
        <is>
          <t>Sprint 1</t>
        </is>
      </c>
      <c r="K28" s="2" t="inlineStr">
        <is>
          <t>24120244</t>
        </is>
      </c>
      <c r="L28" s="2" t="inlineStr">
        <is>
          <t>Phan Van Viet</t>
        </is>
      </c>
      <c r="M28" s="3" t="n">
        <v>46298</v>
      </c>
      <c r="N28" s="3" t="n">
        <v>46311</v>
      </c>
      <c r="O28" s="2" t="n">
        <v>2</v>
      </c>
      <c r="P28" s="2" t="inlineStr">
        <is>
          <t>ORIG-076</t>
        </is>
      </c>
      <c r="Q28" s="2" t="inlineStr">
        <is>
          <t>Medium</t>
        </is>
      </c>
      <c r="R28" s="2" t="inlineStr">
        <is>
          <t>Planned</t>
        </is>
      </c>
    </row>
    <row r="29">
      <c r="A29" s="2" t="inlineStr">
        <is>
          <t>Sub-task</t>
        </is>
      </c>
      <c r="B29" s="2" t="inlineStr">
        <is>
          <t>CIN-SUB-077</t>
        </is>
      </c>
      <c r="C29" s="2" t="inlineStr">
        <is>
          <t>CIN-T-012</t>
        </is>
      </c>
      <c r="D29" s="2" t="inlineStr">
        <is>
          <t>Secrets Check</t>
        </is>
      </c>
      <c r="E29" s="2" t="inlineStr">
        <is>
          <t>PH-01</t>
        </is>
      </c>
      <c r="F29" s="2" t="inlineStr">
        <is>
          <t>Discovery &amp; PA1</t>
        </is>
      </c>
      <c r="G29" s="2" t="inlineStr">
        <is>
          <t>CIN-T-012</t>
        </is>
      </c>
      <c r="H29" s="2" t="inlineStr">
        <is>
          <t>24120098</t>
        </is>
      </c>
      <c r="I29" s="2" t="inlineStr">
        <is>
          <t>Nguyen Quoc Nam</t>
        </is>
      </c>
      <c r="J29" s="2" t="inlineStr">
        <is>
          <t>Sprint 1</t>
        </is>
      </c>
      <c r="K29" s="2" t="inlineStr">
        <is>
          <t>24120235</t>
        </is>
      </c>
      <c r="L29" s="2" t="inlineStr">
        <is>
          <t>Huynh Thanh Tu</t>
        </is>
      </c>
      <c r="M29" s="3" t="n">
        <v>46298</v>
      </c>
      <c r="N29" s="3" t="n">
        <v>46311</v>
      </c>
      <c r="O29" s="2" t="n">
        <v>1</v>
      </c>
      <c r="P29" s="2" t="inlineStr">
        <is>
          <t>ORIG-077</t>
        </is>
      </c>
      <c r="Q29" s="2" t="inlineStr">
        <is>
          <t>Medium</t>
        </is>
      </c>
      <c r="R29" s="2" t="inlineStr">
        <is>
          <t>Planned</t>
        </is>
      </c>
    </row>
    <row r="30">
      <c r="A30" s="6" t="inlineStr">
        <is>
          <t>Task</t>
        </is>
      </c>
      <c r="B30" s="6" t="inlineStr">
        <is>
          <t>CIN-T-047</t>
        </is>
      </c>
      <c r="C30" s="6" t="inlineStr">
        <is>
          <t>PH-01</t>
        </is>
      </c>
      <c r="D30" s="6" t="inlineStr">
        <is>
          <t>Soạn tổng quan và phân tích nghiệp vụ cho PA1</t>
        </is>
      </c>
      <c r="E30" s="6" t="inlineStr">
        <is>
          <t>PH-01</t>
        </is>
      </c>
      <c r="F30" s="6" t="inlineStr">
        <is>
          <t>Discovery &amp; PA1</t>
        </is>
      </c>
      <c r="G30" s="6" t="inlineStr">
        <is>
          <t>CIN-T-047</t>
        </is>
      </c>
      <c r="H30" s="6" t="inlineStr">
        <is>
          <t>24120098</t>
        </is>
      </c>
      <c r="I30" s="6" t="inlineStr">
        <is>
          <t>Nguyen Quoc Nam</t>
        </is>
      </c>
      <c r="J30" s="6" t="inlineStr">
        <is>
          <t>Sprint 1</t>
        </is>
      </c>
      <c r="K30" s="6" t="inlineStr"/>
      <c r="L30" s="6" t="inlineStr"/>
      <c r="M30" s="7" t="n">
        <v>46298</v>
      </c>
      <c r="N30" s="7" t="n">
        <v>46311</v>
      </c>
      <c r="O30" s="6">
        <f>SUMIFS('Master Subtasks'!$V$2:$V$293,'Master Subtasks'!$L$2:$L$293,$B30)</f>
        <v/>
      </c>
      <c r="P30" s="6" t="inlineStr"/>
      <c r="Q30" s="6" t="inlineStr">
        <is>
          <t>High</t>
        </is>
      </c>
      <c r="R30" s="6" t="inlineStr">
        <is>
          <t>Planned</t>
        </is>
      </c>
    </row>
    <row r="31">
      <c r="A31" s="2" t="inlineStr">
        <is>
          <t>Sub-task</t>
        </is>
      </c>
      <c r="B31" s="2" t="inlineStr">
        <is>
          <t>CIN-SUB-279</t>
        </is>
      </c>
      <c r="C31" s="2" t="inlineStr">
        <is>
          <t>CIN-T-047</t>
        </is>
      </c>
      <c r="D31" s="2" t="inlineStr">
        <is>
          <t>Tổng quan hệ thống</t>
        </is>
      </c>
      <c r="E31" s="2" t="inlineStr">
        <is>
          <t>PH-01</t>
        </is>
      </c>
      <c r="F31" s="2" t="inlineStr">
        <is>
          <t>Discovery &amp; PA1</t>
        </is>
      </c>
      <c r="G31" s="2" t="inlineStr">
        <is>
          <t>CIN-T-047</t>
        </is>
      </c>
      <c r="H31" s="2" t="inlineStr">
        <is>
          <t>24120098</t>
        </is>
      </c>
      <c r="I31" s="2" t="inlineStr">
        <is>
          <t>Nguyen Quoc Nam</t>
        </is>
      </c>
      <c r="J31" s="2" t="inlineStr">
        <is>
          <t>Sprint 1</t>
        </is>
      </c>
      <c r="K31" s="2" t="inlineStr">
        <is>
          <t>24120098</t>
        </is>
      </c>
      <c r="L31" s="2" t="inlineStr">
        <is>
          <t>Nguyen Quoc Nam</t>
        </is>
      </c>
      <c r="M31" s="3" t="n">
        <v>46298</v>
      </c>
      <c r="N31" s="3" t="n">
        <v>46311</v>
      </c>
      <c r="O31" s="2" t="n">
        <v>2</v>
      </c>
      <c r="P31" s="2" t="inlineStr">
        <is>
          <t>ORIG-279</t>
        </is>
      </c>
      <c r="Q31" s="2" t="inlineStr">
        <is>
          <t>High</t>
        </is>
      </c>
      <c r="R31" s="2" t="inlineStr">
        <is>
          <t>Planned</t>
        </is>
      </c>
    </row>
    <row r="32">
      <c r="A32" s="2" t="inlineStr">
        <is>
          <t>Sub-task</t>
        </is>
      </c>
      <c r="B32" s="2" t="inlineStr">
        <is>
          <t>CIN-SUB-280</t>
        </is>
      </c>
      <c r="C32" s="2" t="inlineStr">
        <is>
          <t>CIN-T-047</t>
        </is>
      </c>
      <c r="D32" s="2" t="inlineStr">
        <is>
          <t>Phân tích nghiệp vụ</t>
        </is>
      </c>
      <c r="E32" s="2" t="inlineStr">
        <is>
          <t>PH-01</t>
        </is>
      </c>
      <c r="F32" s="2" t="inlineStr">
        <is>
          <t>Discovery &amp; PA1</t>
        </is>
      </c>
      <c r="G32" s="2" t="inlineStr">
        <is>
          <t>CIN-T-047</t>
        </is>
      </c>
      <c r="H32" s="2" t="inlineStr">
        <is>
          <t>24120098</t>
        </is>
      </c>
      <c r="I32" s="2" t="inlineStr">
        <is>
          <t>Nguyen Quoc Nam</t>
        </is>
      </c>
      <c r="J32" s="2" t="inlineStr">
        <is>
          <t>Sprint 1</t>
        </is>
      </c>
      <c r="K32" s="2" t="inlineStr">
        <is>
          <t>24120235</t>
        </is>
      </c>
      <c r="L32" s="2" t="inlineStr">
        <is>
          <t>Huynh Thanh Tu</t>
        </is>
      </c>
      <c r="M32" s="3" t="n">
        <v>46298</v>
      </c>
      <c r="N32" s="3" t="n">
        <v>46311</v>
      </c>
      <c r="O32" s="2" t="n">
        <v>2</v>
      </c>
      <c r="P32" s="2" t="inlineStr">
        <is>
          <t>ORIG-280</t>
        </is>
      </c>
      <c r="Q32" s="2" t="inlineStr">
        <is>
          <t>High</t>
        </is>
      </c>
      <c r="R32" s="2" t="inlineStr">
        <is>
          <t>Planned</t>
        </is>
      </c>
    </row>
    <row r="33">
      <c r="A33" s="4" t="inlineStr">
        <is>
          <t>Phase</t>
        </is>
      </c>
      <c r="B33" s="4" t="inlineStr">
        <is>
          <t>PH-02</t>
        </is>
      </c>
      <c r="C33" s="4" t="inlineStr"/>
      <c r="D33" s="4" t="inlineStr">
        <is>
          <t>Solution Design &amp; Foundations</t>
        </is>
      </c>
      <c r="E33" s="4" t="inlineStr">
        <is>
          <t>PH-02</t>
        </is>
      </c>
      <c r="F33" s="4" t="inlineStr">
        <is>
          <t>Solution Design &amp; Foundations</t>
        </is>
      </c>
      <c r="G33" s="4" t="inlineStr"/>
      <c r="H33" s="4" t="inlineStr"/>
      <c r="I33" s="4" t="inlineStr"/>
      <c r="J33" s="4" t="inlineStr">
        <is>
          <t>Sprint 2, Sprint 3</t>
        </is>
      </c>
      <c r="K33" s="4" t="inlineStr"/>
      <c r="L33" s="4" t="inlineStr"/>
      <c r="M33" s="5" t="n">
        <v>46312</v>
      </c>
      <c r="N33" s="5" t="n">
        <v>46339</v>
      </c>
      <c r="O33" s="4">
        <f>SUMIFS('Master Subtasks'!$V$2:$V$293,'Master Subtasks'!$J$2:$J$293,$B33)</f>
        <v/>
      </c>
      <c r="P33" s="4" t="inlineStr"/>
      <c r="Q33" s="4" t="inlineStr"/>
      <c r="R33" s="4" t="inlineStr">
        <is>
          <t>Planned</t>
        </is>
      </c>
    </row>
    <row r="34">
      <c r="A34" s="6" t="inlineStr">
        <is>
          <t>Task</t>
        </is>
      </c>
      <c r="B34" s="6" t="inlineStr">
        <is>
          <t>CIN-T-004</t>
        </is>
      </c>
      <c r="C34" s="6" t="inlineStr">
        <is>
          <t>PH-02</t>
        </is>
      </c>
      <c r="D34" s="6" t="inlineStr">
        <is>
          <t>Thiết kế dữ liệu phim, phòng, ghế và suất chiếu</t>
        </is>
      </c>
      <c r="E34" s="6" t="inlineStr">
        <is>
          <t>PH-02</t>
        </is>
      </c>
      <c r="F34" s="6" t="inlineStr">
        <is>
          <t>Solution Design &amp; Foundations</t>
        </is>
      </c>
      <c r="G34" s="6" t="inlineStr">
        <is>
          <t>CIN-T-004</t>
        </is>
      </c>
      <c r="H34" s="6" t="inlineStr">
        <is>
          <t>24120235</t>
        </is>
      </c>
      <c r="I34" s="6" t="inlineStr">
        <is>
          <t>Huynh Thanh Tu</t>
        </is>
      </c>
      <c r="J34" s="6" t="inlineStr">
        <is>
          <t>Sprint 2</t>
        </is>
      </c>
      <c r="K34" s="6" t="inlineStr"/>
      <c r="L34" s="6" t="inlineStr"/>
      <c r="M34" s="7" t="n">
        <v>46312</v>
      </c>
      <c r="N34" s="7" t="n">
        <v>46325</v>
      </c>
      <c r="O34" s="6">
        <f>SUMIFS('Master Subtasks'!$V$2:$V$293,'Master Subtasks'!$L$2:$L$293,$B34)</f>
        <v/>
      </c>
      <c r="P34" s="6" t="inlineStr"/>
      <c r="Q34" s="6" t="inlineStr">
        <is>
          <t>High</t>
        </is>
      </c>
      <c r="R34" s="6" t="inlineStr">
        <is>
          <t>Planned</t>
        </is>
      </c>
    </row>
    <row r="35">
      <c r="A35" s="2" t="inlineStr">
        <is>
          <t>Sub-task</t>
        </is>
      </c>
      <c r="B35" s="2" t="inlineStr">
        <is>
          <t>CIN-SUB-018</t>
        </is>
      </c>
      <c r="C35" s="2" t="inlineStr">
        <is>
          <t>CIN-T-004</t>
        </is>
      </c>
      <c r="D35" s="2" t="inlineStr">
        <is>
          <t>Thiết kế bảng</t>
        </is>
      </c>
      <c r="E35" s="2" t="inlineStr">
        <is>
          <t>PH-02</t>
        </is>
      </c>
      <c r="F35" s="2" t="inlineStr">
        <is>
          <t>Solution Design &amp; Foundations</t>
        </is>
      </c>
      <c r="G35" s="2" t="inlineStr">
        <is>
          <t>CIN-T-004</t>
        </is>
      </c>
      <c r="H35" s="2" t="inlineStr">
        <is>
          <t>24120235</t>
        </is>
      </c>
      <c r="I35" s="2" t="inlineStr">
        <is>
          <t>Huynh Thanh Tu</t>
        </is>
      </c>
      <c r="J35" s="2" t="inlineStr">
        <is>
          <t>Sprint 2</t>
        </is>
      </c>
      <c r="K35" s="2" t="inlineStr">
        <is>
          <t>24120098</t>
        </is>
      </c>
      <c r="L35" s="2" t="inlineStr">
        <is>
          <t>Nguyen Quoc Nam</t>
        </is>
      </c>
      <c r="M35" s="3" t="n">
        <v>46312</v>
      </c>
      <c r="N35" s="3" t="n">
        <v>46325</v>
      </c>
      <c r="O35" s="2" t="n">
        <v>2</v>
      </c>
      <c r="P35" s="2" t="inlineStr">
        <is>
          <t>ORIG-018</t>
        </is>
      </c>
      <c r="Q35" s="2" t="inlineStr">
        <is>
          <t>High</t>
        </is>
      </c>
      <c r="R35" s="2" t="inlineStr">
        <is>
          <t>Planned</t>
        </is>
      </c>
    </row>
    <row r="36">
      <c r="A36" s="2" t="inlineStr">
        <is>
          <t>Sub-task</t>
        </is>
      </c>
      <c r="B36" s="2" t="inlineStr">
        <is>
          <t>CIN-SUB-019</t>
        </is>
      </c>
      <c r="C36" s="2" t="inlineStr">
        <is>
          <t>CIN-T-004</t>
        </is>
      </c>
      <c r="D36" s="2" t="inlineStr">
        <is>
          <t>Thiết kế bảng Movie</t>
        </is>
      </c>
      <c r="E36" s="2" t="inlineStr">
        <is>
          <t>PH-02</t>
        </is>
      </c>
      <c r="F36" s="2" t="inlineStr">
        <is>
          <t>Solution Design &amp; Foundations</t>
        </is>
      </c>
      <c r="G36" s="2" t="inlineStr">
        <is>
          <t>CIN-T-004</t>
        </is>
      </c>
      <c r="H36" s="2" t="inlineStr">
        <is>
          <t>24120235</t>
        </is>
      </c>
      <c r="I36" s="2" t="inlineStr">
        <is>
          <t>Huynh Thanh Tu</t>
        </is>
      </c>
      <c r="J36" s="2" t="inlineStr">
        <is>
          <t>Sprint 2</t>
        </is>
      </c>
      <c r="K36" s="2" t="inlineStr">
        <is>
          <t>24120244</t>
        </is>
      </c>
      <c r="L36" s="2" t="inlineStr">
        <is>
          <t>Phan Van Viet</t>
        </is>
      </c>
      <c r="M36" s="3" t="n">
        <v>46312</v>
      </c>
      <c r="N36" s="3" t="n">
        <v>46325</v>
      </c>
      <c r="O36" s="2" t="n">
        <v>2</v>
      </c>
      <c r="P36" s="2" t="inlineStr">
        <is>
          <t>ORIG-019</t>
        </is>
      </c>
      <c r="Q36" s="2" t="inlineStr">
        <is>
          <t>High</t>
        </is>
      </c>
      <c r="R36" s="2" t="inlineStr">
        <is>
          <t>Planned</t>
        </is>
      </c>
    </row>
    <row r="37">
      <c r="A37" s="2" t="inlineStr">
        <is>
          <t>Sub-task</t>
        </is>
      </c>
      <c r="B37" s="2" t="inlineStr">
        <is>
          <t>CIN-SUB-020</t>
        </is>
      </c>
      <c r="C37" s="2" t="inlineStr">
        <is>
          <t>CIN-T-004</t>
        </is>
      </c>
      <c r="D37" s="2" t="inlineStr">
        <is>
          <t>Thiết kế bảng Genre</t>
        </is>
      </c>
      <c r="E37" s="2" t="inlineStr">
        <is>
          <t>PH-02</t>
        </is>
      </c>
      <c r="F37" s="2" t="inlineStr">
        <is>
          <t>Solution Design &amp; Foundations</t>
        </is>
      </c>
      <c r="G37" s="2" t="inlineStr">
        <is>
          <t>CIN-T-004</t>
        </is>
      </c>
      <c r="H37" s="2" t="inlineStr">
        <is>
          <t>24120235</t>
        </is>
      </c>
      <c r="I37" s="2" t="inlineStr">
        <is>
          <t>Huynh Thanh Tu</t>
        </is>
      </c>
      <c r="J37" s="2" t="inlineStr">
        <is>
          <t>Sprint 2</t>
        </is>
      </c>
      <c r="K37" s="2" t="inlineStr">
        <is>
          <t>24120235</t>
        </is>
      </c>
      <c r="L37" s="2" t="inlineStr">
        <is>
          <t>Huynh Thanh Tu</t>
        </is>
      </c>
      <c r="M37" s="3" t="n">
        <v>46312</v>
      </c>
      <c r="N37" s="3" t="n">
        <v>46325</v>
      </c>
      <c r="O37" s="2" t="n">
        <v>2</v>
      </c>
      <c r="P37" s="2" t="inlineStr">
        <is>
          <t>ORIG-020</t>
        </is>
      </c>
      <c r="Q37" s="2" t="inlineStr">
        <is>
          <t>High</t>
        </is>
      </c>
      <c r="R37" s="2" t="inlineStr">
        <is>
          <t>Planned</t>
        </is>
      </c>
    </row>
    <row r="38">
      <c r="A38" s="2" t="inlineStr">
        <is>
          <t>Sub-task</t>
        </is>
      </c>
      <c r="B38" s="2" t="inlineStr">
        <is>
          <t>CIN-SUB-021</t>
        </is>
      </c>
      <c r="C38" s="2" t="inlineStr">
        <is>
          <t>CIN-T-004</t>
        </is>
      </c>
      <c r="D38" s="2" t="inlineStr">
        <is>
          <t>Thiết kế bảng MovieGenre</t>
        </is>
      </c>
      <c r="E38" s="2" t="inlineStr">
        <is>
          <t>PH-02</t>
        </is>
      </c>
      <c r="F38" s="2" t="inlineStr">
        <is>
          <t>Solution Design &amp; Foundations</t>
        </is>
      </c>
      <c r="G38" s="2" t="inlineStr">
        <is>
          <t>CIN-T-004</t>
        </is>
      </c>
      <c r="H38" s="2" t="inlineStr">
        <is>
          <t>24120235</t>
        </is>
      </c>
      <c r="I38" s="2" t="inlineStr">
        <is>
          <t>Huynh Thanh Tu</t>
        </is>
      </c>
      <c r="J38" s="2" t="inlineStr">
        <is>
          <t>Sprint 2</t>
        </is>
      </c>
      <c r="K38" s="2" t="inlineStr">
        <is>
          <t>24120255</t>
        </is>
      </c>
      <c r="L38" s="2" t="inlineStr">
        <is>
          <t>Tran Thien An</t>
        </is>
      </c>
      <c r="M38" s="3" t="n">
        <v>46312</v>
      </c>
      <c r="N38" s="3" t="n">
        <v>46325</v>
      </c>
      <c r="O38" s="2" t="n">
        <v>2</v>
      </c>
      <c r="P38" s="2" t="inlineStr">
        <is>
          <t>ORIG-021</t>
        </is>
      </c>
      <c r="Q38" s="2" t="inlineStr">
        <is>
          <t>High</t>
        </is>
      </c>
      <c r="R38" s="2" t="inlineStr">
        <is>
          <t>Planned</t>
        </is>
      </c>
    </row>
    <row r="39">
      <c r="A39" s="2" t="inlineStr">
        <is>
          <t>Sub-task</t>
        </is>
      </c>
      <c r="B39" s="2" t="inlineStr">
        <is>
          <t>CIN-SUB-022</t>
        </is>
      </c>
      <c r="C39" s="2" t="inlineStr">
        <is>
          <t>CIN-T-004</t>
        </is>
      </c>
      <c r="D39" s="2" t="inlineStr">
        <is>
          <t>Thiết kế bảng CinemaRoom</t>
        </is>
      </c>
      <c r="E39" s="2" t="inlineStr">
        <is>
          <t>PH-02</t>
        </is>
      </c>
      <c r="F39" s="2" t="inlineStr">
        <is>
          <t>Solution Design &amp; Foundations</t>
        </is>
      </c>
      <c r="G39" s="2" t="inlineStr">
        <is>
          <t>CIN-T-004</t>
        </is>
      </c>
      <c r="H39" s="2" t="inlineStr">
        <is>
          <t>24120235</t>
        </is>
      </c>
      <c r="I39" s="2" t="inlineStr">
        <is>
          <t>Huynh Thanh Tu</t>
        </is>
      </c>
      <c r="J39" s="2" t="inlineStr">
        <is>
          <t>Sprint 2</t>
        </is>
      </c>
      <c r="K39" s="2" t="inlineStr">
        <is>
          <t>24120271</t>
        </is>
      </c>
      <c r="L39" s="2" t="inlineStr">
        <is>
          <t>Nguyen Trung Chinh</t>
        </is>
      </c>
      <c r="M39" s="3" t="n">
        <v>46312</v>
      </c>
      <c r="N39" s="3" t="n">
        <v>46325</v>
      </c>
      <c r="O39" s="2" t="n">
        <v>2</v>
      </c>
      <c r="P39" s="2" t="inlineStr">
        <is>
          <t>ORIG-022</t>
        </is>
      </c>
      <c r="Q39" s="2" t="inlineStr">
        <is>
          <t>High</t>
        </is>
      </c>
      <c r="R39" s="2" t="inlineStr">
        <is>
          <t>Planned</t>
        </is>
      </c>
    </row>
    <row r="40">
      <c r="A40" s="2" t="inlineStr">
        <is>
          <t>Sub-task</t>
        </is>
      </c>
      <c r="B40" s="2" t="inlineStr">
        <is>
          <t>CIN-SUB-023</t>
        </is>
      </c>
      <c r="C40" s="2" t="inlineStr">
        <is>
          <t>CIN-T-004</t>
        </is>
      </c>
      <c r="D40" s="2" t="inlineStr">
        <is>
          <t>Thiết kế bảng Seat</t>
        </is>
      </c>
      <c r="E40" s="2" t="inlineStr">
        <is>
          <t>PH-02</t>
        </is>
      </c>
      <c r="F40" s="2" t="inlineStr">
        <is>
          <t>Solution Design &amp; Foundations</t>
        </is>
      </c>
      <c r="G40" s="2" t="inlineStr">
        <is>
          <t>CIN-T-004</t>
        </is>
      </c>
      <c r="H40" s="2" t="inlineStr">
        <is>
          <t>24120235</t>
        </is>
      </c>
      <c r="I40" s="2" t="inlineStr">
        <is>
          <t>Huynh Thanh Tu</t>
        </is>
      </c>
      <c r="J40" s="2" t="inlineStr">
        <is>
          <t>Sprint 2</t>
        </is>
      </c>
      <c r="K40" s="2" t="inlineStr">
        <is>
          <t>24120098</t>
        </is>
      </c>
      <c r="L40" s="2" t="inlineStr">
        <is>
          <t>Nguyen Quoc Nam</t>
        </is>
      </c>
      <c r="M40" s="3" t="n">
        <v>46312</v>
      </c>
      <c r="N40" s="3" t="n">
        <v>46325</v>
      </c>
      <c r="O40" s="2" t="n">
        <v>2</v>
      </c>
      <c r="P40" s="2" t="inlineStr">
        <is>
          <t>ORIG-023</t>
        </is>
      </c>
      <c r="Q40" s="2" t="inlineStr">
        <is>
          <t>High</t>
        </is>
      </c>
      <c r="R40" s="2" t="inlineStr">
        <is>
          <t>Planned</t>
        </is>
      </c>
    </row>
    <row r="41">
      <c r="A41" s="2" t="inlineStr">
        <is>
          <t>Sub-task</t>
        </is>
      </c>
      <c r="B41" s="2" t="inlineStr">
        <is>
          <t>CIN-SUB-024</t>
        </is>
      </c>
      <c r="C41" s="2" t="inlineStr">
        <is>
          <t>CIN-T-004</t>
        </is>
      </c>
      <c r="D41" s="2" t="inlineStr">
        <is>
          <t>Thiết kế bảng SeatType</t>
        </is>
      </c>
      <c r="E41" s="2" t="inlineStr">
        <is>
          <t>PH-02</t>
        </is>
      </c>
      <c r="F41" s="2" t="inlineStr">
        <is>
          <t>Solution Design &amp; Foundations</t>
        </is>
      </c>
      <c r="G41" s="2" t="inlineStr">
        <is>
          <t>CIN-T-004</t>
        </is>
      </c>
      <c r="H41" s="2" t="inlineStr">
        <is>
          <t>24120235</t>
        </is>
      </c>
      <c r="I41" s="2" t="inlineStr">
        <is>
          <t>Huynh Thanh Tu</t>
        </is>
      </c>
      <c r="J41" s="2" t="inlineStr">
        <is>
          <t>Sprint 2</t>
        </is>
      </c>
      <c r="K41" s="2" t="inlineStr">
        <is>
          <t>24120244</t>
        </is>
      </c>
      <c r="L41" s="2" t="inlineStr">
        <is>
          <t>Phan Van Viet</t>
        </is>
      </c>
      <c r="M41" s="3" t="n">
        <v>46312</v>
      </c>
      <c r="N41" s="3" t="n">
        <v>46325</v>
      </c>
      <c r="O41" s="2" t="n">
        <v>2</v>
      </c>
      <c r="P41" s="2" t="inlineStr">
        <is>
          <t>ORIG-024</t>
        </is>
      </c>
      <c r="Q41" s="2" t="inlineStr">
        <is>
          <t>High</t>
        </is>
      </c>
      <c r="R41" s="2" t="inlineStr">
        <is>
          <t>Planned</t>
        </is>
      </c>
    </row>
    <row r="42">
      <c r="A42" s="2" t="inlineStr">
        <is>
          <t>Sub-task</t>
        </is>
      </c>
      <c r="B42" s="2" t="inlineStr">
        <is>
          <t>CIN-SUB-025</t>
        </is>
      </c>
      <c r="C42" s="2" t="inlineStr">
        <is>
          <t>CIN-T-004</t>
        </is>
      </c>
      <c r="D42" s="2" t="inlineStr">
        <is>
          <t>Thiết kế bảng TicketType</t>
        </is>
      </c>
      <c r="E42" s="2" t="inlineStr">
        <is>
          <t>PH-02</t>
        </is>
      </c>
      <c r="F42" s="2" t="inlineStr">
        <is>
          <t>Solution Design &amp; Foundations</t>
        </is>
      </c>
      <c r="G42" s="2" t="inlineStr">
        <is>
          <t>CIN-T-004</t>
        </is>
      </c>
      <c r="H42" s="2" t="inlineStr">
        <is>
          <t>24120235</t>
        </is>
      </c>
      <c r="I42" s="2" t="inlineStr">
        <is>
          <t>Huynh Thanh Tu</t>
        </is>
      </c>
      <c r="J42" s="2" t="inlineStr">
        <is>
          <t>Sprint 2</t>
        </is>
      </c>
      <c r="K42" s="2" t="inlineStr">
        <is>
          <t>24120235</t>
        </is>
      </c>
      <c r="L42" s="2" t="inlineStr">
        <is>
          <t>Huynh Thanh Tu</t>
        </is>
      </c>
      <c r="M42" s="3" t="n">
        <v>46312</v>
      </c>
      <c r="N42" s="3" t="n">
        <v>46325</v>
      </c>
      <c r="O42" s="2" t="n">
        <v>3</v>
      </c>
      <c r="P42" s="2" t="inlineStr">
        <is>
          <t>ORIG-025</t>
        </is>
      </c>
      <c r="Q42" s="2" t="inlineStr">
        <is>
          <t>High</t>
        </is>
      </c>
      <c r="R42" s="2" t="inlineStr">
        <is>
          <t>Planned</t>
        </is>
      </c>
    </row>
    <row r="43">
      <c r="A43" s="2" t="inlineStr">
        <is>
          <t>Sub-task</t>
        </is>
      </c>
      <c r="B43" s="2" t="inlineStr">
        <is>
          <t>CIN-SUB-026</t>
        </is>
      </c>
      <c r="C43" s="2" t="inlineStr">
        <is>
          <t>CIN-T-004</t>
        </is>
      </c>
      <c r="D43" s="2" t="inlineStr">
        <is>
          <t>Thiết kế bảng Showtime</t>
        </is>
      </c>
      <c r="E43" s="2" t="inlineStr">
        <is>
          <t>PH-02</t>
        </is>
      </c>
      <c r="F43" s="2" t="inlineStr">
        <is>
          <t>Solution Design &amp; Foundations</t>
        </is>
      </c>
      <c r="G43" s="2" t="inlineStr">
        <is>
          <t>CIN-T-004</t>
        </is>
      </c>
      <c r="H43" s="2" t="inlineStr">
        <is>
          <t>24120235</t>
        </is>
      </c>
      <c r="I43" s="2" t="inlineStr">
        <is>
          <t>Huynh Thanh Tu</t>
        </is>
      </c>
      <c r="J43" s="2" t="inlineStr">
        <is>
          <t>Sprint 2</t>
        </is>
      </c>
      <c r="K43" s="2" t="inlineStr">
        <is>
          <t>24120255</t>
        </is>
      </c>
      <c r="L43" s="2" t="inlineStr">
        <is>
          <t>Tran Thien An</t>
        </is>
      </c>
      <c r="M43" s="3" t="n">
        <v>46312</v>
      </c>
      <c r="N43" s="3" t="n">
        <v>46325</v>
      </c>
      <c r="O43" s="2" t="n">
        <v>2</v>
      </c>
      <c r="P43" s="2" t="inlineStr">
        <is>
          <t>ORIG-026</t>
        </is>
      </c>
      <c r="Q43" s="2" t="inlineStr">
        <is>
          <t>High</t>
        </is>
      </c>
      <c r="R43" s="2" t="inlineStr">
        <is>
          <t>Planned</t>
        </is>
      </c>
    </row>
    <row r="44">
      <c r="A44" s="6" t="inlineStr">
        <is>
          <t>Task</t>
        </is>
      </c>
      <c r="B44" s="6" t="inlineStr">
        <is>
          <t>CIN-T-005</t>
        </is>
      </c>
      <c r="C44" s="6" t="inlineStr">
        <is>
          <t>PH-02</t>
        </is>
      </c>
      <c r="D44" s="6" t="inlineStr">
        <is>
          <t>Thiết kế dữ liệu booking, ticket, payment và user</t>
        </is>
      </c>
      <c r="E44" s="6" t="inlineStr">
        <is>
          <t>PH-02</t>
        </is>
      </c>
      <c r="F44" s="6" t="inlineStr">
        <is>
          <t>Solution Design &amp; Foundations</t>
        </is>
      </c>
      <c r="G44" s="6" t="inlineStr">
        <is>
          <t>CIN-T-005</t>
        </is>
      </c>
      <c r="H44" s="6" t="inlineStr">
        <is>
          <t>24120271</t>
        </is>
      </c>
      <c r="I44" s="6" t="inlineStr">
        <is>
          <t>Nguyen Trung Chinh</t>
        </is>
      </c>
      <c r="J44" s="6" t="inlineStr">
        <is>
          <t>Sprint 2</t>
        </is>
      </c>
      <c r="K44" s="6" t="inlineStr"/>
      <c r="L44" s="6" t="inlineStr"/>
      <c r="M44" s="7" t="n">
        <v>46312</v>
      </c>
      <c r="N44" s="7" t="n">
        <v>46325</v>
      </c>
      <c r="O44" s="6">
        <f>SUMIFS('Master Subtasks'!$V$2:$V$293,'Master Subtasks'!$L$2:$L$293,$B44)</f>
        <v/>
      </c>
      <c r="P44" s="6" t="inlineStr"/>
      <c r="Q44" s="6" t="inlineStr">
        <is>
          <t>High</t>
        </is>
      </c>
      <c r="R44" s="6" t="inlineStr">
        <is>
          <t>Planned</t>
        </is>
      </c>
    </row>
    <row r="45">
      <c r="A45" s="2" t="inlineStr">
        <is>
          <t>Sub-task</t>
        </is>
      </c>
      <c r="B45" s="2" t="inlineStr">
        <is>
          <t>CIN-SUB-027</t>
        </is>
      </c>
      <c r="C45" s="2" t="inlineStr">
        <is>
          <t>CIN-T-005</t>
        </is>
      </c>
      <c r="D45" s="2" t="inlineStr">
        <is>
          <t>Thiết kế bảng Booking</t>
        </is>
      </c>
      <c r="E45" s="2" t="inlineStr">
        <is>
          <t>PH-02</t>
        </is>
      </c>
      <c r="F45" s="2" t="inlineStr">
        <is>
          <t>Solution Design &amp; Foundations</t>
        </is>
      </c>
      <c r="G45" s="2" t="inlineStr">
        <is>
          <t>CIN-T-005</t>
        </is>
      </c>
      <c r="H45" s="2" t="inlineStr">
        <is>
          <t>24120271</t>
        </is>
      </c>
      <c r="I45" s="2" t="inlineStr">
        <is>
          <t>Nguyen Trung Chinh</t>
        </is>
      </c>
      <c r="J45" s="2" t="inlineStr">
        <is>
          <t>Sprint 2</t>
        </is>
      </c>
      <c r="K45" s="2" t="inlineStr">
        <is>
          <t>24120271</t>
        </is>
      </c>
      <c r="L45" s="2" t="inlineStr">
        <is>
          <t>Nguyen Trung Chinh</t>
        </is>
      </c>
      <c r="M45" s="3" t="n">
        <v>46312</v>
      </c>
      <c r="N45" s="3" t="n">
        <v>46325</v>
      </c>
      <c r="O45" s="2" t="n">
        <v>3</v>
      </c>
      <c r="P45" s="2" t="inlineStr">
        <is>
          <t>ORIG-027</t>
        </is>
      </c>
      <c r="Q45" s="2" t="inlineStr">
        <is>
          <t>High</t>
        </is>
      </c>
      <c r="R45" s="2" t="inlineStr">
        <is>
          <t>Planned</t>
        </is>
      </c>
    </row>
    <row r="46">
      <c r="A46" s="2" t="inlineStr">
        <is>
          <t>Sub-task</t>
        </is>
      </c>
      <c r="B46" s="2" t="inlineStr">
        <is>
          <t>CIN-SUB-028</t>
        </is>
      </c>
      <c r="C46" s="2" t="inlineStr">
        <is>
          <t>CIN-T-005</t>
        </is>
      </c>
      <c r="D46" s="2" t="inlineStr">
        <is>
          <t>Thiết kế bảng BookingDetail</t>
        </is>
      </c>
      <c r="E46" s="2" t="inlineStr">
        <is>
          <t>PH-02</t>
        </is>
      </c>
      <c r="F46" s="2" t="inlineStr">
        <is>
          <t>Solution Design &amp; Foundations</t>
        </is>
      </c>
      <c r="G46" s="2" t="inlineStr">
        <is>
          <t>CIN-T-005</t>
        </is>
      </c>
      <c r="H46" s="2" t="inlineStr">
        <is>
          <t>24120271</t>
        </is>
      </c>
      <c r="I46" s="2" t="inlineStr">
        <is>
          <t>Nguyen Trung Chinh</t>
        </is>
      </c>
      <c r="J46" s="2" t="inlineStr">
        <is>
          <t>Sprint 2</t>
        </is>
      </c>
      <c r="K46" s="2" t="inlineStr">
        <is>
          <t>24120098</t>
        </is>
      </c>
      <c r="L46" s="2" t="inlineStr">
        <is>
          <t>Nguyen Quoc Nam</t>
        </is>
      </c>
      <c r="M46" s="3" t="n">
        <v>46312</v>
      </c>
      <c r="N46" s="3" t="n">
        <v>46325</v>
      </c>
      <c r="O46" s="2" t="n">
        <v>3</v>
      </c>
      <c r="P46" s="2" t="inlineStr">
        <is>
          <t>ORIG-028</t>
        </is>
      </c>
      <c r="Q46" s="2" t="inlineStr">
        <is>
          <t>High</t>
        </is>
      </c>
      <c r="R46" s="2" t="inlineStr">
        <is>
          <t>Planned</t>
        </is>
      </c>
    </row>
    <row r="47">
      <c r="A47" s="2" t="inlineStr">
        <is>
          <t>Sub-task</t>
        </is>
      </c>
      <c r="B47" s="2" t="inlineStr">
        <is>
          <t>CIN-SUB-029</t>
        </is>
      </c>
      <c r="C47" s="2" t="inlineStr">
        <is>
          <t>CIN-T-005</t>
        </is>
      </c>
      <c r="D47" s="2" t="inlineStr">
        <is>
          <t>Thiết kế bảng Ticket</t>
        </is>
      </c>
      <c r="E47" s="2" t="inlineStr">
        <is>
          <t>PH-02</t>
        </is>
      </c>
      <c r="F47" s="2" t="inlineStr">
        <is>
          <t>Solution Design &amp; Foundations</t>
        </is>
      </c>
      <c r="G47" s="2" t="inlineStr">
        <is>
          <t>CIN-T-005</t>
        </is>
      </c>
      <c r="H47" s="2" t="inlineStr">
        <is>
          <t>24120271</t>
        </is>
      </c>
      <c r="I47" s="2" t="inlineStr">
        <is>
          <t>Nguyen Trung Chinh</t>
        </is>
      </c>
      <c r="J47" s="2" t="inlineStr">
        <is>
          <t>Sprint 2</t>
        </is>
      </c>
      <c r="K47" s="2" t="inlineStr">
        <is>
          <t>24120244</t>
        </is>
      </c>
      <c r="L47" s="2" t="inlineStr">
        <is>
          <t>Phan Van Viet</t>
        </is>
      </c>
      <c r="M47" s="3" t="n">
        <v>46312</v>
      </c>
      <c r="N47" s="3" t="n">
        <v>46325</v>
      </c>
      <c r="O47" s="2" t="n">
        <v>3</v>
      </c>
      <c r="P47" s="2" t="inlineStr">
        <is>
          <t>ORIG-029</t>
        </is>
      </c>
      <c r="Q47" s="2" t="inlineStr">
        <is>
          <t>High</t>
        </is>
      </c>
      <c r="R47" s="2" t="inlineStr">
        <is>
          <t>Planned</t>
        </is>
      </c>
    </row>
    <row r="48">
      <c r="A48" s="2" t="inlineStr">
        <is>
          <t>Sub-task</t>
        </is>
      </c>
      <c r="B48" s="2" t="inlineStr">
        <is>
          <t>CIN-SUB-030</t>
        </is>
      </c>
      <c r="C48" s="2" t="inlineStr">
        <is>
          <t>CIN-T-005</t>
        </is>
      </c>
      <c r="D48" s="2" t="inlineStr">
        <is>
          <t>Thiết kế bảng Payment</t>
        </is>
      </c>
      <c r="E48" s="2" t="inlineStr">
        <is>
          <t>PH-02</t>
        </is>
      </c>
      <c r="F48" s="2" t="inlineStr">
        <is>
          <t>Solution Design &amp; Foundations</t>
        </is>
      </c>
      <c r="G48" s="2" t="inlineStr">
        <is>
          <t>CIN-T-005</t>
        </is>
      </c>
      <c r="H48" s="2" t="inlineStr">
        <is>
          <t>24120271</t>
        </is>
      </c>
      <c r="I48" s="2" t="inlineStr">
        <is>
          <t>Nguyen Trung Chinh</t>
        </is>
      </c>
      <c r="J48" s="2" t="inlineStr">
        <is>
          <t>Sprint 2</t>
        </is>
      </c>
      <c r="K48" s="2" t="inlineStr">
        <is>
          <t>24120255</t>
        </is>
      </c>
      <c r="L48" s="2" t="inlineStr">
        <is>
          <t>Tran Thien An</t>
        </is>
      </c>
      <c r="M48" s="3" t="n">
        <v>46312</v>
      </c>
      <c r="N48" s="3" t="n">
        <v>46325</v>
      </c>
      <c r="O48" s="2" t="n">
        <v>3</v>
      </c>
      <c r="P48" s="2" t="inlineStr">
        <is>
          <t>ORIG-030</t>
        </is>
      </c>
      <c r="Q48" s="2" t="inlineStr">
        <is>
          <t>High</t>
        </is>
      </c>
      <c r="R48" s="2" t="inlineStr">
        <is>
          <t>Planned</t>
        </is>
      </c>
    </row>
    <row r="49">
      <c r="A49" s="2" t="inlineStr">
        <is>
          <t>Sub-task</t>
        </is>
      </c>
      <c r="B49" s="2" t="inlineStr">
        <is>
          <t>CIN-SUB-031</t>
        </is>
      </c>
      <c r="C49" s="2" t="inlineStr">
        <is>
          <t>CIN-T-005</t>
        </is>
      </c>
      <c r="D49" s="2" t="inlineStr">
        <is>
          <t>Thiết kế bảng User</t>
        </is>
      </c>
      <c r="E49" s="2" t="inlineStr">
        <is>
          <t>PH-02</t>
        </is>
      </c>
      <c r="F49" s="2" t="inlineStr">
        <is>
          <t>Solution Design &amp; Foundations</t>
        </is>
      </c>
      <c r="G49" s="2" t="inlineStr">
        <is>
          <t>CIN-T-005</t>
        </is>
      </c>
      <c r="H49" s="2" t="inlineStr">
        <is>
          <t>24120271</t>
        </is>
      </c>
      <c r="I49" s="2" t="inlineStr">
        <is>
          <t>Nguyen Trung Chinh</t>
        </is>
      </c>
      <c r="J49" s="2" t="inlineStr">
        <is>
          <t>Sprint 2</t>
        </is>
      </c>
      <c r="K49" s="2" t="inlineStr">
        <is>
          <t>24120235</t>
        </is>
      </c>
      <c r="L49" s="2" t="inlineStr">
        <is>
          <t>Huynh Thanh Tu</t>
        </is>
      </c>
      <c r="M49" s="3" t="n">
        <v>46312</v>
      </c>
      <c r="N49" s="3" t="n">
        <v>46325</v>
      </c>
      <c r="O49" s="2" t="n">
        <v>2</v>
      </c>
      <c r="P49" s="2" t="inlineStr">
        <is>
          <t>ORIG-031</t>
        </is>
      </c>
      <c r="Q49" s="2" t="inlineStr">
        <is>
          <t>High</t>
        </is>
      </c>
      <c r="R49" s="2" t="inlineStr">
        <is>
          <t>Planned</t>
        </is>
      </c>
    </row>
    <row r="50">
      <c r="A50" s="2" t="inlineStr">
        <is>
          <t>Sub-task</t>
        </is>
      </c>
      <c r="B50" s="2" t="inlineStr">
        <is>
          <t>CIN-SUB-032</t>
        </is>
      </c>
      <c r="C50" s="2" t="inlineStr">
        <is>
          <t>CIN-T-005</t>
        </is>
      </c>
      <c r="D50" s="2" t="inlineStr">
        <is>
          <t>Thiết kế bảng Role</t>
        </is>
      </c>
      <c r="E50" s="2" t="inlineStr">
        <is>
          <t>PH-02</t>
        </is>
      </c>
      <c r="F50" s="2" t="inlineStr">
        <is>
          <t>Solution Design &amp; Foundations</t>
        </is>
      </c>
      <c r="G50" s="2" t="inlineStr">
        <is>
          <t>CIN-T-005</t>
        </is>
      </c>
      <c r="H50" s="2" t="inlineStr">
        <is>
          <t>24120271</t>
        </is>
      </c>
      <c r="I50" s="2" t="inlineStr">
        <is>
          <t>Nguyen Trung Chinh</t>
        </is>
      </c>
      <c r="J50" s="2" t="inlineStr">
        <is>
          <t>Sprint 2</t>
        </is>
      </c>
      <c r="K50" s="2" t="inlineStr">
        <is>
          <t>24120271</t>
        </is>
      </c>
      <c r="L50" s="2" t="inlineStr">
        <is>
          <t>Nguyen Trung Chinh</t>
        </is>
      </c>
      <c r="M50" s="3" t="n">
        <v>46312</v>
      </c>
      <c r="N50" s="3" t="n">
        <v>46325</v>
      </c>
      <c r="O50" s="2" t="n">
        <v>2</v>
      </c>
      <c r="P50" s="2" t="inlineStr">
        <is>
          <t>ORIG-032</t>
        </is>
      </c>
      <c r="Q50" s="2" t="inlineStr">
        <is>
          <t>High</t>
        </is>
      </c>
      <c r="R50" s="2" t="inlineStr">
        <is>
          <t>Planned</t>
        </is>
      </c>
    </row>
    <row r="51">
      <c r="A51" s="2" t="inlineStr">
        <is>
          <t>Sub-task</t>
        </is>
      </c>
      <c r="B51" s="2" t="inlineStr">
        <is>
          <t>CIN-SUB-033</t>
        </is>
      </c>
      <c r="C51" s="2" t="inlineStr">
        <is>
          <t>CIN-T-005</t>
        </is>
      </c>
      <c r="D51" s="2" t="inlineStr">
        <is>
          <t>Thiết kế bảng UserRole</t>
        </is>
      </c>
      <c r="E51" s="2" t="inlineStr">
        <is>
          <t>PH-02</t>
        </is>
      </c>
      <c r="F51" s="2" t="inlineStr">
        <is>
          <t>Solution Design &amp; Foundations</t>
        </is>
      </c>
      <c r="G51" s="2" t="inlineStr">
        <is>
          <t>CIN-T-005</t>
        </is>
      </c>
      <c r="H51" s="2" t="inlineStr">
        <is>
          <t>24120271</t>
        </is>
      </c>
      <c r="I51" s="2" t="inlineStr">
        <is>
          <t>Nguyen Trung Chinh</t>
        </is>
      </c>
      <c r="J51" s="2" t="inlineStr">
        <is>
          <t>Sprint 2</t>
        </is>
      </c>
      <c r="K51" s="2" t="inlineStr">
        <is>
          <t>24120098</t>
        </is>
      </c>
      <c r="L51" s="2" t="inlineStr">
        <is>
          <t>Nguyen Quoc Nam</t>
        </is>
      </c>
      <c r="M51" s="3" t="n">
        <v>46312</v>
      </c>
      <c r="N51" s="3" t="n">
        <v>46325</v>
      </c>
      <c r="O51" s="2" t="n">
        <v>2</v>
      </c>
      <c r="P51" s="2" t="inlineStr">
        <is>
          <t>ORIG-033</t>
        </is>
      </c>
      <c r="Q51" s="2" t="inlineStr">
        <is>
          <t>High</t>
        </is>
      </c>
      <c r="R51" s="2" t="inlineStr">
        <is>
          <t>Planned</t>
        </is>
      </c>
    </row>
    <row r="52">
      <c r="A52" s="6" t="inlineStr">
        <is>
          <t>Task</t>
        </is>
      </c>
      <c r="B52" s="6" t="inlineStr">
        <is>
          <t>CIN-T-006</t>
        </is>
      </c>
      <c r="C52" s="6" t="inlineStr">
        <is>
          <t>PH-02</t>
        </is>
      </c>
      <c r="D52" s="6" t="inlineStr">
        <is>
          <t>Xác định quan hệ, ràng buộc và tính toàn vẹn dữ liệu</t>
        </is>
      </c>
      <c r="E52" s="6" t="inlineStr">
        <is>
          <t>PH-02</t>
        </is>
      </c>
      <c r="F52" s="6" t="inlineStr">
        <is>
          <t>Solution Design &amp; Foundations</t>
        </is>
      </c>
      <c r="G52" s="6" t="inlineStr">
        <is>
          <t>CIN-T-006</t>
        </is>
      </c>
      <c r="H52" s="6" t="inlineStr">
        <is>
          <t>24120244</t>
        </is>
      </c>
      <c r="I52" s="6" t="inlineStr">
        <is>
          <t>Phan Van Viet</t>
        </is>
      </c>
      <c r="J52" s="6" t="inlineStr">
        <is>
          <t>Sprint 2</t>
        </is>
      </c>
      <c r="K52" s="6" t="inlineStr"/>
      <c r="L52" s="6" t="inlineStr"/>
      <c r="M52" s="7" t="n">
        <v>46312</v>
      </c>
      <c r="N52" s="7" t="n">
        <v>46325</v>
      </c>
      <c r="O52" s="6">
        <f>SUMIFS('Master Subtasks'!$V$2:$V$293,'Master Subtasks'!$L$2:$L$293,$B52)</f>
        <v/>
      </c>
      <c r="P52" s="6" t="inlineStr"/>
      <c r="Q52" s="6" t="inlineStr">
        <is>
          <t>High</t>
        </is>
      </c>
      <c r="R52" s="6" t="inlineStr">
        <is>
          <t>Planned</t>
        </is>
      </c>
    </row>
    <row r="53">
      <c r="A53" s="2" t="inlineStr">
        <is>
          <t>Sub-task</t>
        </is>
      </c>
      <c r="B53" s="2" t="inlineStr">
        <is>
          <t>CIN-SUB-034</t>
        </is>
      </c>
      <c r="C53" s="2" t="inlineStr">
        <is>
          <t>CIN-T-006</t>
        </is>
      </c>
      <c r="D53" s="2" t="inlineStr">
        <is>
          <t>Thiết kế quan hệ</t>
        </is>
      </c>
      <c r="E53" s="2" t="inlineStr">
        <is>
          <t>PH-02</t>
        </is>
      </c>
      <c r="F53" s="2" t="inlineStr">
        <is>
          <t>Solution Design &amp; Foundations</t>
        </is>
      </c>
      <c r="G53" s="2" t="inlineStr">
        <is>
          <t>CIN-T-006</t>
        </is>
      </c>
      <c r="H53" s="2" t="inlineStr">
        <is>
          <t>24120244</t>
        </is>
      </c>
      <c r="I53" s="2" t="inlineStr">
        <is>
          <t>Phan Van Viet</t>
        </is>
      </c>
      <c r="J53" s="2" t="inlineStr">
        <is>
          <t>Sprint 2</t>
        </is>
      </c>
      <c r="K53" s="2" t="inlineStr">
        <is>
          <t>24120244</t>
        </is>
      </c>
      <c r="L53" s="2" t="inlineStr">
        <is>
          <t>Phan Van Viet</t>
        </is>
      </c>
      <c r="M53" s="3" t="n">
        <v>46312</v>
      </c>
      <c r="N53" s="3" t="n">
        <v>46325</v>
      </c>
      <c r="O53" s="2" t="n">
        <v>2</v>
      </c>
      <c r="P53" s="2" t="inlineStr">
        <is>
          <t>ORIG-034</t>
        </is>
      </c>
      <c r="Q53" s="2" t="inlineStr">
        <is>
          <t>High</t>
        </is>
      </c>
      <c r="R53" s="2" t="inlineStr">
        <is>
          <t>Planned</t>
        </is>
      </c>
    </row>
    <row r="54">
      <c r="A54" s="2" t="inlineStr">
        <is>
          <t>Sub-task</t>
        </is>
      </c>
      <c r="B54" s="2" t="inlineStr">
        <is>
          <t>CIN-SUB-035</t>
        </is>
      </c>
      <c r="C54" s="2" t="inlineStr">
        <is>
          <t>CIN-T-006</t>
        </is>
      </c>
      <c r="D54" s="2" t="inlineStr">
        <is>
          <t>Xác định PK/FK</t>
        </is>
      </c>
      <c r="E54" s="2" t="inlineStr">
        <is>
          <t>PH-02</t>
        </is>
      </c>
      <c r="F54" s="2" t="inlineStr">
        <is>
          <t>Solution Design &amp; Foundations</t>
        </is>
      </c>
      <c r="G54" s="2" t="inlineStr">
        <is>
          <t>CIN-T-006</t>
        </is>
      </c>
      <c r="H54" s="2" t="inlineStr">
        <is>
          <t>24120244</t>
        </is>
      </c>
      <c r="I54" s="2" t="inlineStr">
        <is>
          <t>Phan Van Viet</t>
        </is>
      </c>
      <c r="J54" s="2" t="inlineStr">
        <is>
          <t>Sprint 2</t>
        </is>
      </c>
      <c r="K54" s="2" t="inlineStr">
        <is>
          <t>24120235</t>
        </is>
      </c>
      <c r="L54" s="2" t="inlineStr">
        <is>
          <t>Huynh Thanh Tu</t>
        </is>
      </c>
      <c r="M54" s="3" t="n">
        <v>46312</v>
      </c>
      <c r="N54" s="3" t="n">
        <v>46325</v>
      </c>
      <c r="O54" s="2" t="n">
        <v>2</v>
      </c>
      <c r="P54" s="2" t="inlineStr">
        <is>
          <t>ORIG-035</t>
        </is>
      </c>
      <c r="Q54" s="2" t="inlineStr">
        <is>
          <t>High</t>
        </is>
      </c>
      <c r="R54" s="2" t="inlineStr">
        <is>
          <t>Planned</t>
        </is>
      </c>
    </row>
    <row r="55">
      <c r="A55" s="2" t="inlineStr">
        <is>
          <t>Sub-task</t>
        </is>
      </c>
      <c r="B55" s="2" t="inlineStr">
        <is>
          <t>CIN-SUB-036</t>
        </is>
      </c>
      <c r="C55" s="2" t="inlineStr">
        <is>
          <t>CIN-T-006</t>
        </is>
      </c>
      <c r="D55" s="2" t="inlineStr">
        <is>
          <t>Xác định kiểu dữ liệu</t>
        </is>
      </c>
      <c r="E55" s="2" t="inlineStr">
        <is>
          <t>PH-02</t>
        </is>
      </c>
      <c r="F55" s="2" t="inlineStr">
        <is>
          <t>Solution Design &amp; Foundations</t>
        </is>
      </c>
      <c r="G55" s="2" t="inlineStr">
        <is>
          <t>CIN-T-006</t>
        </is>
      </c>
      <c r="H55" s="2" t="inlineStr">
        <is>
          <t>24120244</t>
        </is>
      </c>
      <c r="I55" s="2" t="inlineStr">
        <is>
          <t>Phan Van Viet</t>
        </is>
      </c>
      <c r="J55" s="2" t="inlineStr">
        <is>
          <t>Sprint 2</t>
        </is>
      </c>
      <c r="K55" s="2" t="inlineStr">
        <is>
          <t>24120255</t>
        </is>
      </c>
      <c r="L55" s="2" t="inlineStr">
        <is>
          <t>Tran Thien An</t>
        </is>
      </c>
      <c r="M55" s="3" t="n">
        <v>46312</v>
      </c>
      <c r="N55" s="3" t="n">
        <v>46325</v>
      </c>
      <c r="O55" s="2" t="n">
        <v>2</v>
      </c>
      <c r="P55" s="2" t="inlineStr">
        <is>
          <t>ORIG-036</t>
        </is>
      </c>
      <c r="Q55" s="2" t="inlineStr">
        <is>
          <t>High</t>
        </is>
      </c>
      <c r="R55" s="2" t="inlineStr">
        <is>
          <t>Planned</t>
        </is>
      </c>
    </row>
    <row r="56">
      <c r="A56" s="2" t="inlineStr">
        <is>
          <t>Sub-task</t>
        </is>
      </c>
      <c r="B56" s="2" t="inlineStr">
        <is>
          <t>CIN-SUB-037</t>
        </is>
      </c>
      <c r="C56" s="2" t="inlineStr">
        <is>
          <t>CIN-T-006</t>
        </is>
      </c>
      <c r="D56" s="2" t="inlineStr">
        <is>
          <t>Thiết lập ràng buộc</t>
        </is>
      </c>
      <c r="E56" s="2" t="inlineStr">
        <is>
          <t>PH-02</t>
        </is>
      </c>
      <c r="F56" s="2" t="inlineStr">
        <is>
          <t>Solution Design &amp; Foundations</t>
        </is>
      </c>
      <c r="G56" s="2" t="inlineStr">
        <is>
          <t>CIN-T-006</t>
        </is>
      </c>
      <c r="H56" s="2" t="inlineStr">
        <is>
          <t>24120244</t>
        </is>
      </c>
      <c r="I56" s="2" t="inlineStr">
        <is>
          <t>Phan Van Viet</t>
        </is>
      </c>
      <c r="J56" s="2" t="inlineStr">
        <is>
          <t>Sprint 2</t>
        </is>
      </c>
      <c r="K56" s="2" t="inlineStr">
        <is>
          <t>24120271</t>
        </is>
      </c>
      <c r="L56" s="2" t="inlineStr">
        <is>
          <t>Nguyen Trung Chinh</t>
        </is>
      </c>
      <c r="M56" s="3" t="n">
        <v>46312</v>
      </c>
      <c r="N56" s="3" t="n">
        <v>46325</v>
      </c>
      <c r="O56" s="2" t="n">
        <v>2</v>
      </c>
      <c r="P56" s="2" t="inlineStr">
        <is>
          <t>ORIG-037</t>
        </is>
      </c>
      <c r="Q56" s="2" t="inlineStr">
        <is>
          <t>High</t>
        </is>
      </c>
      <c r="R56" s="2" t="inlineStr">
        <is>
          <t>Planned</t>
        </is>
      </c>
    </row>
    <row r="57">
      <c r="A57" s="2" t="inlineStr">
        <is>
          <t>Sub-task</t>
        </is>
      </c>
      <c r="B57" s="2" t="inlineStr">
        <is>
          <t>CIN-SUB-038</t>
        </is>
      </c>
      <c r="C57" s="2" t="inlineStr">
        <is>
          <t>CIN-T-006</t>
        </is>
      </c>
      <c r="D57" s="2" t="inlineStr">
        <is>
          <t>Kiểm tra tính toàn vẹn</t>
        </is>
      </c>
      <c r="E57" s="2" t="inlineStr">
        <is>
          <t>PH-02</t>
        </is>
      </c>
      <c r="F57" s="2" t="inlineStr">
        <is>
          <t>Solution Design &amp; Foundations</t>
        </is>
      </c>
      <c r="G57" s="2" t="inlineStr">
        <is>
          <t>CIN-T-006</t>
        </is>
      </c>
      <c r="H57" s="2" t="inlineStr">
        <is>
          <t>24120244</t>
        </is>
      </c>
      <c r="I57" s="2" t="inlineStr">
        <is>
          <t>Phan Van Viet</t>
        </is>
      </c>
      <c r="J57" s="2" t="inlineStr">
        <is>
          <t>Sprint 2</t>
        </is>
      </c>
      <c r="K57" s="2" t="inlineStr">
        <is>
          <t>24120098</t>
        </is>
      </c>
      <c r="L57" s="2" t="inlineStr">
        <is>
          <t>Nguyen Quoc Nam</t>
        </is>
      </c>
      <c r="M57" s="3" t="n">
        <v>46312</v>
      </c>
      <c r="N57" s="3" t="n">
        <v>46325</v>
      </c>
      <c r="O57" s="2" t="n">
        <v>2</v>
      </c>
      <c r="P57" s="2" t="inlineStr">
        <is>
          <t>ORIG-038</t>
        </is>
      </c>
      <c r="Q57" s="2" t="inlineStr">
        <is>
          <t>High</t>
        </is>
      </c>
      <c r="R57" s="2" t="inlineStr">
        <is>
          <t>Planned</t>
        </is>
      </c>
    </row>
    <row r="58">
      <c r="A58" s="2" t="inlineStr">
        <is>
          <t>Sub-task</t>
        </is>
      </c>
      <c r="B58" s="2" t="inlineStr">
        <is>
          <t>CIN-SUB-039</t>
        </is>
      </c>
      <c r="C58" s="2" t="inlineStr">
        <is>
          <t>CIN-T-006</t>
        </is>
      </c>
      <c r="D58" s="2" t="inlineStr">
        <is>
          <t>Kiểm tra trùng lịch</t>
        </is>
      </c>
      <c r="E58" s="2" t="inlineStr">
        <is>
          <t>PH-02</t>
        </is>
      </c>
      <c r="F58" s="2" t="inlineStr">
        <is>
          <t>Solution Design &amp; Foundations</t>
        </is>
      </c>
      <c r="G58" s="2" t="inlineStr">
        <is>
          <t>CIN-T-006</t>
        </is>
      </c>
      <c r="H58" s="2" t="inlineStr">
        <is>
          <t>24120244</t>
        </is>
      </c>
      <c r="I58" s="2" t="inlineStr">
        <is>
          <t>Phan Van Viet</t>
        </is>
      </c>
      <c r="J58" s="2" t="inlineStr">
        <is>
          <t>Sprint 2</t>
        </is>
      </c>
      <c r="K58" s="2" t="inlineStr">
        <is>
          <t>24120244</t>
        </is>
      </c>
      <c r="L58" s="2" t="inlineStr">
        <is>
          <t>Phan Van Viet</t>
        </is>
      </c>
      <c r="M58" s="3" t="n">
        <v>46312</v>
      </c>
      <c r="N58" s="3" t="n">
        <v>46325</v>
      </c>
      <c r="O58" s="2" t="n">
        <v>2</v>
      </c>
      <c r="P58" s="2" t="inlineStr">
        <is>
          <t>ORIG-039</t>
        </is>
      </c>
      <c r="Q58" s="2" t="inlineStr">
        <is>
          <t>High</t>
        </is>
      </c>
      <c r="R58" s="2" t="inlineStr">
        <is>
          <t>Planned</t>
        </is>
      </c>
    </row>
    <row r="59">
      <c r="A59" s="2" t="inlineStr">
        <is>
          <t>Sub-task</t>
        </is>
      </c>
      <c r="B59" s="2" t="inlineStr">
        <is>
          <t>CIN-SUB-040</t>
        </is>
      </c>
      <c r="C59" s="2" t="inlineStr">
        <is>
          <t>CIN-T-006</t>
        </is>
      </c>
      <c r="D59" s="2" t="inlineStr">
        <is>
          <t>Kiểm tra trùng ghế</t>
        </is>
      </c>
      <c r="E59" s="2" t="inlineStr">
        <is>
          <t>PH-02</t>
        </is>
      </c>
      <c r="F59" s="2" t="inlineStr">
        <is>
          <t>Solution Design &amp; Foundations</t>
        </is>
      </c>
      <c r="G59" s="2" t="inlineStr">
        <is>
          <t>CIN-T-006</t>
        </is>
      </c>
      <c r="H59" s="2" t="inlineStr">
        <is>
          <t>24120244</t>
        </is>
      </c>
      <c r="I59" s="2" t="inlineStr">
        <is>
          <t>Phan Van Viet</t>
        </is>
      </c>
      <c r="J59" s="2" t="inlineStr">
        <is>
          <t>Sprint 2</t>
        </is>
      </c>
      <c r="K59" s="2" t="inlineStr">
        <is>
          <t>24120235</t>
        </is>
      </c>
      <c r="L59" s="2" t="inlineStr">
        <is>
          <t>Huynh Thanh Tu</t>
        </is>
      </c>
      <c r="M59" s="3" t="n">
        <v>46312</v>
      </c>
      <c r="N59" s="3" t="n">
        <v>46325</v>
      </c>
      <c r="O59" s="2" t="n">
        <v>3</v>
      </c>
      <c r="P59" s="2" t="inlineStr">
        <is>
          <t>ORIG-040</t>
        </is>
      </c>
      <c r="Q59" s="2" t="inlineStr">
        <is>
          <t>High</t>
        </is>
      </c>
      <c r="R59" s="2" t="inlineStr">
        <is>
          <t>Planned</t>
        </is>
      </c>
    </row>
    <row r="60">
      <c r="A60" s="2" t="inlineStr">
        <is>
          <t>Sub-task</t>
        </is>
      </c>
      <c r="B60" s="2" t="inlineStr">
        <is>
          <t>CIN-SUB-041</t>
        </is>
      </c>
      <c r="C60" s="2" t="inlineStr">
        <is>
          <t>CIN-T-006</t>
        </is>
      </c>
      <c r="D60" s="2" t="inlineStr">
        <is>
          <t>Thiết kế trạng thái</t>
        </is>
      </c>
      <c r="E60" s="2" t="inlineStr">
        <is>
          <t>PH-02</t>
        </is>
      </c>
      <c r="F60" s="2" t="inlineStr">
        <is>
          <t>Solution Design &amp; Foundations</t>
        </is>
      </c>
      <c r="G60" s="2" t="inlineStr">
        <is>
          <t>CIN-T-006</t>
        </is>
      </c>
      <c r="H60" s="2" t="inlineStr">
        <is>
          <t>24120244</t>
        </is>
      </c>
      <c r="I60" s="2" t="inlineStr">
        <is>
          <t>Phan Van Viet</t>
        </is>
      </c>
      <c r="J60" s="2" t="inlineStr">
        <is>
          <t>Sprint 2</t>
        </is>
      </c>
      <c r="K60" s="2" t="inlineStr">
        <is>
          <t>24120255</t>
        </is>
      </c>
      <c r="L60" s="2" t="inlineStr">
        <is>
          <t>Tran Thien An</t>
        </is>
      </c>
      <c r="M60" s="3" t="n">
        <v>46312</v>
      </c>
      <c r="N60" s="3" t="n">
        <v>46325</v>
      </c>
      <c r="O60" s="2" t="n">
        <v>3</v>
      </c>
      <c r="P60" s="2" t="inlineStr">
        <is>
          <t>ORIG-041</t>
        </is>
      </c>
      <c r="Q60" s="2" t="inlineStr">
        <is>
          <t>High</t>
        </is>
      </c>
      <c r="R60" s="2" t="inlineStr">
        <is>
          <t>Planned</t>
        </is>
      </c>
    </row>
    <row r="61">
      <c r="A61" s="2" t="inlineStr">
        <is>
          <t>Sub-task</t>
        </is>
      </c>
      <c r="B61" s="2" t="inlineStr">
        <is>
          <t>CIN-SUB-042</t>
        </is>
      </c>
      <c r="C61" s="2" t="inlineStr">
        <is>
          <t>CIN-T-006</t>
        </is>
      </c>
      <c r="D61" s="2" t="inlineStr">
        <is>
          <t>Thiết kế quy tắc xóa</t>
        </is>
      </c>
      <c r="E61" s="2" t="inlineStr">
        <is>
          <t>PH-02</t>
        </is>
      </c>
      <c r="F61" s="2" t="inlineStr">
        <is>
          <t>Solution Design &amp; Foundations</t>
        </is>
      </c>
      <c r="G61" s="2" t="inlineStr">
        <is>
          <t>CIN-T-006</t>
        </is>
      </c>
      <c r="H61" s="2" t="inlineStr">
        <is>
          <t>24120244</t>
        </is>
      </c>
      <c r="I61" s="2" t="inlineStr">
        <is>
          <t>Phan Van Viet</t>
        </is>
      </c>
      <c r="J61" s="2" t="inlineStr">
        <is>
          <t>Sprint 2</t>
        </is>
      </c>
      <c r="K61" s="2" t="inlineStr">
        <is>
          <t>24120271</t>
        </is>
      </c>
      <c r="L61" s="2" t="inlineStr">
        <is>
          <t>Nguyen Trung Chinh</t>
        </is>
      </c>
      <c r="M61" s="3" t="n">
        <v>46312</v>
      </c>
      <c r="N61" s="3" t="n">
        <v>46325</v>
      </c>
      <c r="O61" s="2" t="n">
        <v>2</v>
      </c>
      <c r="P61" s="2" t="inlineStr">
        <is>
          <t>ORIG-042</t>
        </is>
      </c>
      <c r="Q61" s="2" t="inlineStr">
        <is>
          <t>High</t>
        </is>
      </c>
      <c r="R61" s="2" t="inlineStr">
        <is>
          <t>Planned</t>
        </is>
      </c>
    </row>
    <row r="62">
      <c r="A62" s="2" t="inlineStr">
        <is>
          <t>Sub-task</t>
        </is>
      </c>
      <c r="B62" s="2" t="inlineStr">
        <is>
          <t>CIN-SUB-043</t>
        </is>
      </c>
      <c r="C62" s="2" t="inlineStr">
        <is>
          <t>CIN-T-006</t>
        </is>
      </c>
      <c r="D62" s="2" t="inlineStr">
        <is>
          <t>Chuẩn hóa Database</t>
        </is>
      </c>
      <c r="E62" s="2" t="inlineStr">
        <is>
          <t>PH-02</t>
        </is>
      </c>
      <c r="F62" s="2" t="inlineStr">
        <is>
          <t>Solution Design &amp; Foundations</t>
        </is>
      </c>
      <c r="G62" s="2" t="inlineStr">
        <is>
          <t>CIN-T-006</t>
        </is>
      </c>
      <c r="H62" s="2" t="inlineStr">
        <is>
          <t>24120244</t>
        </is>
      </c>
      <c r="I62" s="2" t="inlineStr">
        <is>
          <t>Phan Van Viet</t>
        </is>
      </c>
      <c r="J62" s="2" t="inlineStr">
        <is>
          <t>Sprint 2</t>
        </is>
      </c>
      <c r="K62" s="2" t="inlineStr">
        <is>
          <t>24120098</t>
        </is>
      </c>
      <c r="L62" s="2" t="inlineStr">
        <is>
          <t>Nguyen Quoc Nam</t>
        </is>
      </c>
      <c r="M62" s="3" t="n">
        <v>46312</v>
      </c>
      <c r="N62" s="3" t="n">
        <v>46325</v>
      </c>
      <c r="O62" s="2" t="n">
        <v>3</v>
      </c>
      <c r="P62" s="2" t="inlineStr">
        <is>
          <t>ORIG-043</t>
        </is>
      </c>
      <c r="Q62" s="2" t="inlineStr">
        <is>
          <t>High</t>
        </is>
      </c>
      <c r="R62" s="2" t="inlineStr">
        <is>
          <t>Planned</t>
        </is>
      </c>
    </row>
    <row r="63">
      <c r="A63" s="2" t="inlineStr">
        <is>
          <t>Sub-task</t>
        </is>
      </c>
      <c r="B63" s="2" t="inlineStr">
        <is>
          <t>CIN-SUB-044</t>
        </is>
      </c>
      <c r="C63" s="2" t="inlineStr">
        <is>
          <t>CIN-T-006</t>
        </is>
      </c>
      <c r="D63" s="2" t="inlineStr">
        <is>
          <t>Kiểm tra Index</t>
        </is>
      </c>
      <c r="E63" s="2" t="inlineStr">
        <is>
          <t>PH-02</t>
        </is>
      </c>
      <c r="F63" s="2" t="inlineStr">
        <is>
          <t>Solution Design &amp; Foundations</t>
        </is>
      </c>
      <c r="G63" s="2" t="inlineStr">
        <is>
          <t>CIN-T-006</t>
        </is>
      </c>
      <c r="H63" s="2" t="inlineStr">
        <is>
          <t>24120244</t>
        </is>
      </c>
      <c r="I63" s="2" t="inlineStr">
        <is>
          <t>Phan Van Viet</t>
        </is>
      </c>
      <c r="J63" s="2" t="inlineStr">
        <is>
          <t>Sprint 2</t>
        </is>
      </c>
      <c r="K63" s="2" t="inlineStr">
        <is>
          <t>24120244</t>
        </is>
      </c>
      <c r="L63" s="2" t="inlineStr">
        <is>
          <t>Phan Van Viet</t>
        </is>
      </c>
      <c r="M63" s="3" t="n">
        <v>46312</v>
      </c>
      <c r="N63" s="3" t="n">
        <v>46325</v>
      </c>
      <c r="O63" s="2" t="n">
        <v>2</v>
      </c>
      <c r="P63" s="2" t="inlineStr">
        <is>
          <t>ORIG-044</t>
        </is>
      </c>
      <c r="Q63" s="2" t="inlineStr">
        <is>
          <t>High</t>
        </is>
      </c>
      <c r="R63" s="2" t="inlineStr">
        <is>
          <t>Planned</t>
        </is>
      </c>
    </row>
    <row r="64">
      <c r="A64" s="6" t="inlineStr">
        <is>
          <t>Task</t>
        </is>
      </c>
      <c r="B64" s="6" t="inlineStr">
        <is>
          <t>CIN-T-007</t>
        </is>
      </c>
      <c r="C64" s="6" t="inlineStr">
        <is>
          <t>PH-02</t>
        </is>
      </c>
      <c r="D64" s="6" t="inlineStr">
        <is>
          <t>Hoàn tất ERD và relational schema</t>
        </is>
      </c>
      <c r="E64" s="6" t="inlineStr">
        <is>
          <t>PH-02</t>
        </is>
      </c>
      <c r="F64" s="6" t="inlineStr">
        <is>
          <t>Solution Design &amp; Foundations</t>
        </is>
      </c>
      <c r="G64" s="6" t="inlineStr">
        <is>
          <t>CIN-T-007</t>
        </is>
      </c>
      <c r="H64" s="6" t="inlineStr">
        <is>
          <t>24120271</t>
        </is>
      </c>
      <c r="I64" s="6" t="inlineStr">
        <is>
          <t>Nguyen Trung Chinh</t>
        </is>
      </c>
      <c r="J64" s="6" t="inlineStr">
        <is>
          <t>Sprint 2</t>
        </is>
      </c>
      <c r="K64" s="6" t="inlineStr"/>
      <c r="L64" s="6" t="inlineStr"/>
      <c r="M64" s="7" t="n">
        <v>46312</v>
      </c>
      <c r="N64" s="7" t="n">
        <v>46325</v>
      </c>
      <c r="O64" s="6">
        <f>SUMIFS('Master Subtasks'!$V$2:$V$293,'Master Subtasks'!$L$2:$L$293,$B64)</f>
        <v/>
      </c>
      <c r="P64" s="6" t="inlineStr"/>
      <c r="Q64" s="6" t="inlineStr">
        <is>
          <t>High</t>
        </is>
      </c>
      <c r="R64" s="6" t="inlineStr">
        <is>
          <t>Planned</t>
        </is>
      </c>
    </row>
    <row r="65">
      <c r="A65" s="2" t="inlineStr">
        <is>
          <t>Sub-task</t>
        </is>
      </c>
      <c r="B65" s="2" t="inlineStr">
        <is>
          <t>CIN-SUB-045</t>
        </is>
      </c>
      <c r="C65" s="2" t="inlineStr">
        <is>
          <t>CIN-T-007</t>
        </is>
      </c>
      <c r="D65" s="2" t="inlineStr">
        <is>
          <t>Vẽ ERD</t>
        </is>
      </c>
      <c r="E65" s="2" t="inlineStr">
        <is>
          <t>PH-02</t>
        </is>
      </c>
      <c r="F65" s="2" t="inlineStr">
        <is>
          <t>Solution Design &amp; Foundations</t>
        </is>
      </c>
      <c r="G65" s="2" t="inlineStr">
        <is>
          <t>CIN-T-007</t>
        </is>
      </c>
      <c r="H65" s="2" t="inlineStr">
        <is>
          <t>24120271</t>
        </is>
      </c>
      <c r="I65" s="2" t="inlineStr">
        <is>
          <t>Nguyen Trung Chinh</t>
        </is>
      </c>
      <c r="J65" s="2" t="inlineStr">
        <is>
          <t>Sprint 2</t>
        </is>
      </c>
      <c r="K65" s="2" t="inlineStr">
        <is>
          <t>24120271</t>
        </is>
      </c>
      <c r="L65" s="2" t="inlineStr">
        <is>
          <t>Nguyen Trung Chinh</t>
        </is>
      </c>
      <c r="M65" s="3" t="n">
        <v>46312</v>
      </c>
      <c r="N65" s="3" t="n">
        <v>46325</v>
      </c>
      <c r="O65" s="2" t="n">
        <v>3</v>
      </c>
      <c r="P65" s="2" t="inlineStr">
        <is>
          <t>ORIG-045</t>
        </is>
      </c>
      <c r="Q65" s="2" t="inlineStr">
        <is>
          <t>High</t>
        </is>
      </c>
      <c r="R65" s="2" t="inlineStr">
        <is>
          <t>Planned</t>
        </is>
      </c>
    </row>
    <row r="66">
      <c r="A66" s="2" t="inlineStr">
        <is>
          <t>Sub-task</t>
        </is>
      </c>
      <c r="B66" s="2" t="inlineStr">
        <is>
          <t>CIN-SUB-046</t>
        </is>
      </c>
      <c r="C66" s="2" t="inlineStr">
        <is>
          <t>CIN-T-007</t>
        </is>
      </c>
      <c r="D66" s="2" t="inlineStr">
        <is>
          <t>Hoàn thiện Relational Schema</t>
        </is>
      </c>
      <c r="E66" s="2" t="inlineStr">
        <is>
          <t>PH-02</t>
        </is>
      </c>
      <c r="F66" s="2" t="inlineStr">
        <is>
          <t>Solution Design &amp; Foundations</t>
        </is>
      </c>
      <c r="G66" s="2" t="inlineStr">
        <is>
          <t>CIN-T-007</t>
        </is>
      </c>
      <c r="H66" s="2" t="inlineStr">
        <is>
          <t>24120271</t>
        </is>
      </c>
      <c r="I66" s="2" t="inlineStr">
        <is>
          <t>Nguyen Trung Chinh</t>
        </is>
      </c>
      <c r="J66" s="2" t="inlineStr">
        <is>
          <t>Sprint 2</t>
        </is>
      </c>
      <c r="K66" s="2" t="inlineStr">
        <is>
          <t>24120235</t>
        </is>
      </c>
      <c r="L66" s="2" t="inlineStr">
        <is>
          <t>Huynh Thanh Tu</t>
        </is>
      </c>
      <c r="M66" s="3" t="n">
        <v>46312</v>
      </c>
      <c r="N66" s="3" t="n">
        <v>46325</v>
      </c>
      <c r="O66" s="2" t="n">
        <v>3</v>
      </c>
      <c r="P66" s="2" t="inlineStr">
        <is>
          <t>ORIG-046</t>
        </is>
      </c>
      <c r="Q66" s="2" t="inlineStr">
        <is>
          <t>High</t>
        </is>
      </c>
      <c r="R66" s="2" t="inlineStr">
        <is>
          <t>Planned</t>
        </is>
      </c>
    </row>
    <row r="67">
      <c r="A67" s="6" t="inlineStr">
        <is>
          <t>Task</t>
        </is>
      </c>
      <c r="B67" s="6" t="inlineStr">
        <is>
          <t>CIN-T-008</t>
        </is>
      </c>
      <c r="C67" s="6" t="inlineStr">
        <is>
          <t>PH-02</t>
        </is>
      </c>
      <c r="D67" s="6" t="inlineStr">
        <is>
          <t>Thiết kế luồng, màn hình và điều hướng Customer</t>
        </is>
      </c>
      <c r="E67" s="6" t="inlineStr">
        <is>
          <t>PH-02</t>
        </is>
      </c>
      <c r="F67" s="6" t="inlineStr">
        <is>
          <t>Solution Design &amp; Foundations</t>
        </is>
      </c>
      <c r="G67" s="6" t="inlineStr">
        <is>
          <t>CIN-T-008</t>
        </is>
      </c>
      <c r="H67" s="6" t="inlineStr">
        <is>
          <t>24120255</t>
        </is>
      </c>
      <c r="I67" s="6" t="inlineStr">
        <is>
          <t>Tran Thien An</t>
        </is>
      </c>
      <c r="J67" s="6" t="inlineStr">
        <is>
          <t>Sprint 2</t>
        </is>
      </c>
      <c r="K67" s="6" t="inlineStr"/>
      <c r="L67" s="6" t="inlineStr"/>
      <c r="M67" s="7" t="n">
        <v>46312</v>
      </c>
      <c r="N67" s="7" t="n">
        <v>46325</v>
      </c>
      <c r="O67" s="6">
        <f>SUMIFS('Master Subtasks'!$V$2:$V$293,'Master Subtasks'!$L$2:$L$293,$B67)</f>
        <v/>
      </c>
      <c r="P67" s="6" t="inlineStr"/>
      <c r="Q67" s="6" t="inlineStr">
        <is>
          <t>High</t>
        </is>
      </c>
      <c r="R67" s="6" t="inlineStr">
        <is>
          <t>Planned</t>
        </is>
      </c>
    </row>
    <row r="68">
      <c r="A68" s="2" t="inlineStr">
        <is>
          <t>Sub-task</t>
        </is>
      </c>
      <c r="B68" s="2" t="inlineStr">
        <is>
          <t>CIN-SUB-047</t>
        </is>
      </c>
      <c r="C68" s="2" t="inlineStr">
        <is>
          <t>CIN-T-008</t>
        </is>
      </c>
      <c r="D68" s="2" t="inlineStr">
        <is>
          <t>Xác định Customer User Flow</t>
        </is>
      </c>
      <c r="E68" s="2" t="inlineStr">
        <is>
          <t>PH-02</t>
        </is>
      </c>
      <c r="F68" s="2" t="inlineStr">
        <is>
          <t>Solution Design &amp; Foundations</t>
        </is>
      </c>
      <c r="G68" s="2" t="inlineStr">
        <is>
          <t>CIN-T-008</t>
        </is>
      </c>
      <c r="H68" s="2" t="inlineStr">
        <is>
          <t>24120255</t>
        </is>
      </c>
      <c r="I68" s="2" t="inlineStr">
        <is>
          <t>Tran Thien An</t>
        </is>
      </c>
      <c r="J68" s="2" t="inlineStr">
        <is>
          <t>Sprint 2</t>
        </is>
      </c>
      <c r="K68" s="2" t="inlineStr">
        <is>
          <t>24120255</t>
        </is>
      </c>
      <c r="L68" s="2" t="inlineStr">
        <is>
          <t>Tran Thien An</t>
        </is>
      </c>
      <c r="M68" s="3" t="n">
        <v>46312</v>
      </c>
      <c r="N68" s="3" t="n">
        <v>46325</v>
      </c>
      <c r="O68" s="2" t="n">
        <v>3</v>
      </c>
      <c r="P68" s="2" t="inlineStr">
        <is>
          <t>ORIG-047</t>
        </is>
      </c>
      <c r="Q68" s="2" t="inlineStr">
        <is>
          <t>High</t>
        </is>
      </c>
      <c r="R68" s="2" t="inlineStr">
        <is>
          <t>Planned</t>
        </is>
      </c>
    </row>
    <row r="69">
      <c r="A69" s="2" t="inlineStr">
        <is>
          <t>Sub-task</t>
        </is>
      </c>
      <c r="B69" s="2" t="inlineStr">
        <is>
          <t>CIN-SUB-048</t>
        </is>
      </c>
      <c r="C69" s="2" t="inlineStr">
        <is>
          <t>CIN-T-008</t>
        </is>
      </c>
      <c r="D69" s="2" t="inlineStr">
        <is>
          <t>Xác định danh sách màn hình Customer</t>
        </is>
      </c>
      <c r="E69" s="2" t="inlineStr">
        <is>
          <t>PH-02</t>
        </is>
      </c>
      <c r="F69" s="2" t="inlineStr">
        <is>
          <t>Solution Design &amp; Foundations</t>
        </is>
      </c>
      <c r="G69" s="2" t="inlineStr">
        <is>
          <t>CIN-T-008</t>
        </is>
      </c>
      <c r="H69" s="2" t="inlineStr">
        <is>
          <t>24120255</t>
        </is>
      </c>
      <c r="I69" s="2" t="inlineStr">
        <is>
          <t>Tran Thien An</t>
        </is>
      </c>
      <c r="J69" s="2" t="inlineStr">
        <is>
          <t>Sprint 2</t>
        </is>
      </c>
      <c r="K69" s="2" t="inlineStr">
        <is>
          <t>24120244</t>
        </is>
      </c>
      <c r="L69" s="2" t="inlineStr">
        <is>
          <t>Phan Van Viet</t>
        </is>
      </c>
      <c r="M69" s="3" t="n">
        <v>46312</v>
      </c>
      <c r="N69" s="3" t="n">
        <v>46325</v>
      </c>
      <c r="O69" s="2" t="n">
        <v>2</v>
      </c>
      <c r="P69" s="2" t="inlineStr">
        <is>
          <t>ORIG-048</t>
        </is>
      </c>
      <c r="Q69" s="2" t="inlineStr">
        <is>
          <t>High</t>
        </is>
      </c>
      <c r="R69" s="2" t="inlineStr">
        <is>
          <t>Planned</t>
        </is>
      </c>
    </row>
    <row r="70">
      <c r="A70" s="2" t="inlineStr">
        <is>
          <t>Sub-task</t>
        </is>
      </c>
      <c r="B70" s="2" t="inlineStr">
        <is>
          <t>CIN-SUB-049</t>
        </is>
      </c>
      <c r="C70" s="2" t="inlineStr">
        <is>
          <t>CIN-T-008</t>
        </is>
      </c>
      <c r="D70" s="2" t="inlineStr">
        <is>
          <t>Web Layout</t>
        </is>
      </c>
      <c r="E70" s="2" t="inlineStr">
        <is>
          <t>PH-02</t>
        </is>
      </c>
      <c r="F70" s="2" t="inlineStr">
        <is>
          <t>Solution Design &amp; Foundations</t>
        </is>
      </c>
      <c r="G70" s="2" t="inlineStr">
        <is>
          <t>CIN-T-008</t>
        </is>
      </c>
      <c r="H70" s="2" t="inlineStr">
        <is>
          <t>24120255</t>
        </is>
      </c>
      <c r="I70" s="2" t="inlineStr">
        <is>
          <t>Tran Thien An</t>
        </is>
      </c>
      <c r="J70" s="2" t="inlineStr">
        <is>
          <t>Sprint 2</t>
        </is>
      </c>
      <c r="K70" s="2" t="inlineStr">
        <is>
          <t>24120098</t>
        </is>
      </c>
      <c r="L70" s="2" t="inlineStr">
        <is>
          <t>Nguyen Quoc Nam</t>
        </is>
      </c>
      <c r="M70" s="3" t="n">
        <v>46312</v>
      </c>
      <c r="N70" s="3" t="n">
        <v>46325</v>
      </c>
      <c r="O70" s="2" t="n">
        <v>3</v>
      </c>
      <c r="P70" s="2" t="inlineStr">
        <is>
          <t>ORIG-049</t>
        </is>
      </c>
      <c r="Q70" s="2" t="inlineStr">
        <is>
          <t>High</t>
        </is>
      </c>
      <c r="R70" s="2" t="inlineStr">
        <is>
          <t>Planned</t>
        </is>
      </c>
    </row>
    <row r="71">
      <c r="A71" s="2" t="inlineStr">
        <is>
          <t>Sub-task</t>
        </is>
      </c>
      <c r="B71" s="2" t="inlineStr">
        <is>
          <t>CIN-SUB-050</t>
        </is>
      </c>
      <c r="C71" s="2" t="inlineStr">
        <is>
          <t>CIN-T-008</t>
        </is>
      </c>
      <c r="D71" s="2" t="inlineStr">
        <is>
          <t>Navigation</t>
        </is>
      </c>
      <c r="E71" s="2" t="inlineStr">
        <is>
          <t>PH-02</t>
        </is>
      </c>
      <c r="F71" s="2" t="inlineStr">
        <is>
          <t>Solution Design &amp; Foundations</t>
        </is>
      </c>
      <c r="G71" s="2" t="inlineStr">
        <is>
          <t>CIN-T-008</t>
        </is>
      </c>
      <c r="H71" s="2" t="inlineStr">
        <is>
          <t>24120255</t>
        </is>
      </c>
      <c r="I71" s="2" t="inlineStr">
        <is>
          <t>Tran Thien An</t>
        </is>
      </c>
      <c r="J71" s="2" t="inlineStr">
        <is>
          <t>Sprint 2</t>
        </is>
      </c>
      <c r="K71" s="2" t="inlineStr">
        <is>
          <t>24120271</t>
        </is>
      </c>
      <c r="L71" s="2" t="inlineStr">
        <is>
          <t>Nguyen Trung Chinh</t>
        </is>
      </c>
      <c r="M71" s="3" t="n">
        <v>46312</v>
      </c>
      <c r="N71" s="3" t="n">
        <v>46325</v>
      </c>
      <c r="O71" s="2" t="n">
        <v>2</v>
      </c>
      <c r="P71" s="2" t="inlineStr">
        <is>
          <t>ORIG-050</t>
        </is>
      </c>
      <c r="Q71" s="2" t="inlineStr">
        <is>
          <t>High</t>
        </is>
      </c>
      <c r="R71" s="2" t="inlineStr">
        <is>
          <t>Planned</t>
        </is>
      </c>
    </row>
    <row r="72">
      <c r="A72" s="6" t="inlineStr">
        <is>
          <t>Task</t>
        </is>
      </c>
      <c r="B72" s="6" t="inlineStr">
        <is>
          <t>CIN-T-009</t>
        </is>
      </c>
      <c r="C72" s="6" t="inlineStr">
        <is>
          <t>PH-02</t>
        </is>
      </c>
      <c r="D72" s="6" t="inlineStr">
        <is>
          <t>Đặc tả các màn hình Customer</t>
        </is>
      </c>
      <c r="E72" s="6" t="inlineStr">
        <is>
          <t>PH-02</t>
        </is>
      </c>
      <c r="F72" s="6" t="inlineStr">
        <is>
          <t>Solution Design &amp; Foundations</t>
        </is>
      </c>
      <c r="G72" s="6" t="inlineStr">
        <is>
          <t>CIN-T-009</t>
        </is>
      </c>
      <c r="H72" s="6" t="inlineStr">
        <is>
          <t>24120244</t>
        </is>
      </c>
      <c r="I72" s="6" t="inlineStr">
        <is>
          <t>Phan Van Viet</t>
        </is>
      </c>
      <c r="J72" s="6" t="inlineStr">
        <is>
          <t>Sprint 2</t>
        </is>
      </c>
      <c r="K72" s="6" t="inlineStr"/>
      <c r="L72" s="6" t="inlineStr"/>
      <c r="M72" s="7" t="n">
        <v>46312</v>
      </c>
      <c r="N72" s="7" t="n">
        <v>46325</v>
      </c>
      <c r="O72" s="6">
        <f>SUMIFS('Master Subtasks'!$V$2:$V$293,'Master Subtasks'!$L$2:$L$293,$B72)</f>
        <v/>
      </c>
      <c r="P72" s="6" t="inlineStr"/>
      <c r="Q72" s="6" t="inlineStr">
        <is>
          <t>High</t>
        </is>
      </c>
      <c r="R72" s="6" t="inlineStr">
        <is>
          <t>Planned</t>
        </is>
      </c>
    </row>
    <row r="73">
      <c r="A73" s="2" t="inlineStr">
        <is>
          <t>Sub-task</t>
        </is>
      </c>
      <c r="B73" s="2" t="inlineStr">
        <is>
          <t>CIN-SUB-051</t>
        </is>
      </c>
      <c r="C73" s="2" t="inlineStr">
        <is>
          <t>CIN-T-009</t>
        </is>
      </c>
      <c r="D73" s="2" t="inlineStr">
        <is>
          <t>Trang Home</t>
        </is>
      </c>
      <c r="E73" s="2" t="inlineStr">
        <is>
          <t>PH-02</t>
        </is>
      </c>
      <c r="F73" s="2" t="inlineStr">
        <is>
          <t>Solution Design &amp; Foundations</t>
        </is>
      </c>
      <c r="G73" s="2" t="inlineStr">
        <is>
          <t>CIN-T-009</t>
        </is>
      </c>
      <c r="H73" s="2" t="inlineStr">
        <is>
          <t>24120244</t>
        </is>
      </c>
      <c r="I73" s="2" t="inlineStr">
        <is>
          <t>Phan Van Viet</t>
        </is>
      </c>
      <c r="J73" s="2" t="inlineStr">
        <is>
          <t>Sprint 2</t>
        </is>
      </c>
      <c r="K73" s="2" t="inlineStr">
        <is>
          <t>24120244</t>
        </is>
      </c>
      <c r="L73" s="2" t="inlineStr">
        <is>
          <t>Phan Van Viet</t>
        </is>
      </c>
      <c r="M73" s="3" t="n">
        <v>46312</v>
      </c>
      <c r="N73" s="3" t="n">
        <v>46325</v>
      </c>
      <c r="O73" s="2" t="n">
        <v>2</v>
      </c>
      <c r="P73" s="2" t="inlineStr">
        <is>
          <t>ORIG-051</t>
        </is>
      </c>
      <c r="Q73" s="2" t="inlineStr">
        <is>
          <t>High</t>
        </is>
      </c>
      <c r="R73" s="2" t="inlineStr">
        <is>
          <t>Planned</t>
        </is>
      </c>
    </row>
    <row r="74">
      <c r="A74" s="2" t="inlineStr">
        <is>
          <t>Sub-task</t>
        </is>
      </c>
      <c r="B74" s="2" t="inlineStr">
        <is>
          <t>CIN-SUB-052</t>
        </is>
      </c>
      <c r="C74" s="2" t="inlineStr">
        <is>
          <t>CIN-T-009</t>
        </is>
      </c>
      <c r="D74" s="2" t="inlineStr">
        <is>
          <t>Trang Movie List</t>
        </is>
      </c>
      <c r="E74" s="2" t="inlineStr">
        <is>
          <t>PH-02</t>
        </is>
      </c>
      <c r="F74" s="2" t="inlineStr">
        <is>
          <t>Solution Design &amp; Foundations</t>
        </is>
      </c>
      <c r="G74" s="2" t="inlineStr">
        <is>
          <t>CIN-T-009</t>
        </is>
      </c>
      <c r="H74" s="2" t="inlineStr">
        <is>
          <t>24120244</t>
        </is>
      </c>
      <c r="I74" s="2" t="inlineStr">
        <is>
          <t>Phan Van Viet</t>
        </is>
      </c>
      <c r="J74" s="2" t="inlineStr">
        <is>
          <t>Sprint 2</t>
        </is>
      </c>
      <c r="K74" s="2" t="inlineStr">
        <is>
          <t>24120235</t>
        </is>
      </c>
      <c r="L74" s="2" t="inlineStr">
        <is>
          <t>Huynh Thanh Tu</t>
        </is>
      </c>
      <c r="M74" s="3" t="n">
        <v>46312</v>
      </c>
      <c r="N74" s="3" t="n">
        <v>46325</v>
      </c>
      <c r="O74" s="2" t="n">
        <v>2</v>
      </c>
      <c r="P74" s="2" t="inlineStr">
        <is>
          <t>ORIG-052</t>
        </is>
      </c>
      <c r="Q74" s="2" t="inlineStr">
        <is>
          <t>High</t>
        </is>
      </c>
      <c r="R74" s="2" t="inlineStr">
        <is>
          <t>Planned</t>
        </is>
      </c>
    </row>
    <row r="75">
      <c r="A75" s="2" t="inlineStr">
        <is>
          <t>Sub-task</t>
        </is>
      </c>
      <c r="B75" s="2" t="inlineStr">
        <is>
          <t>CIN-SUB-053</t>
        </is>
      </c>
      <c r="C75" s="2" t="inlineStr">
        <is>
          <t>CIN-T-009</t>
        </is>
      </c>
      <c r="D75" s="2" t="inlineStr">
        <is>
          <t>Trang Movie Detail</t>
        </is>
      </c>
      <c r="E75" s="2" t="inlineStr">
        <is>
          <t>PH-02</t>
        </is>
      </c>
      <c r="F75" s="2" t="inlineStr">
        <is>
          <t>Solution Design &amp; Foundations</t>
        </is>
      </c>
      <c r="G75" s="2" t="inlineStr">
        <is>
          <t>CIN-T-009</t>
        </is>
      </c>
      <c r="H75" s="2" t="inlineStr">
        <is>
          <t>24120244</t>
        </is>
      </c>
      <c r="I75" s="2" t="inlineStr">
        <is>
          <t>Phan Van Viet</t>
        </is>
      </c>
      <c r="J75" s="2" t="inlineStr">
        <is>
          <t>Sprint 2</t>
        </is>
      </c>
      <c r="K75" s="2" t="inlineStr">
        <is>
          <t>24120255</t>
        </is>
      </c>
      <c r="L75" s="2" t="inlineStr">
        <is>
          <t>Tran Thien An</t>
        </is>
      </c>
      <c r="M75" s="3" t="n">
        <v>46312</v>
      </c>
      <c r="N75" s="3" t="n">
        <v>46325</v>
      </c>
      <c r="O75" s="2" t="n">
        <v>2</v>
      </c>
      <c r="P75" s="2" t="inlineStr">
        <is>
          <t>ORIG-053</t>
        </is>
      </c>
      <c r="Q75" s="2" t="inlineStr">
        <is>
          <t>High</t>
        </is>
      </c>
      <c r="R75" s="2" t="inlineStr">
        <is>
          <t>Planned</t>
        </is>
      </c>
    </row>
    <row r="76">
      <c r="A76" s="2" t="inlineStr">
        <is>
          <t>Sub-task</t>
        </is>
      </c>
      <c r="B76" s="2" t="inlineStr">
        <is>
          <t>CIN-SUB-054</t>
        </is>
      </c>
      <c r="C76" s="2" t="inlineStr">
        <is>
          <t>CIN-T-009</t>
        </is>
      </c>
      <c r="D76" s="2" t="inlineStr">
        <is>
          <t>Trang Showtime</t>
        </is>
      </c>
      <c r="E76" s="2" t="inlineStr">
        <is>
          <t>PH-02</t>
        </is>
      </c>
      <c r="F76" s="2" t="inlineStr">
        <is>
          <t>Solution Design &amp; Foundations</t>
        </is>
      </c>
      <c r="G76" s="2" t="inlineStr">
        <is>
          <t>CIN-T-009</t>
        </is>
      </c>
      <c r="H76" s="2" t="inlineStr">
        <is>
          <t>24120244</t>
        </is>
      </c>
      <c r="I76" s="2" t="inlineStr">
        <is>
          <t>Phan Van Viet</t>
        </is>
      </c>
      <c r="J76" s="2" t="inlineStr">
        <is>
          <t>Sprint 2</t>
        </is>
      </c>
      <c r="K76" s="2" t="inlineStr">
        <is>
          <t>24120271</t>
        </is>
      </c>
      <c r="L76" s="2" t="inlineStr">
        <is>
          <t>Nguyen Trung Chinh</t>
        </is>
      </c>
      <c r="M76" s="3" t="n">
        <v>46312</v>
      </c>
      <c r="N76" s="3" t="n">
        <v>46325</v>
      </c>
      <c r="O76" s="2" t="n">
        <v>2</v>
      </c>
      <c r="P76" s="2" t="inlineStr">
        <is>
          <t>ORIG-054</t>
        </is>
      </c>
      <c r="Q76" s="2" t="inlineStr">
        <is>
          <t>High</t>
        </is>
      </c>
      <c r="R76" s="2" t="inlineStr">
        <is>
          <t>Planned</t>
        </is>
      </c>
    </row>
    <row r="77">
      <c r="A77" s="2" t="inlineStr">
        <is>
          <t>Sub-task</t>
        </is>
      </c>
      <c r="B77" s="2" t="inlineStr">
        <is>
          <t>CIN-SUB-055</t>
        </is>
      </c>
      <c r="C77" s="2" t="inlineStr">
        <is>
          <t>CIN-T-009</t>
        </is>
      </c>
      <c r="D77" s="2" t="inlineStr">
        <is>
          <t>Trang Seat Selection</t>
        </is>
      </c>
      <c r="E77" s="2" t="inlineStr">
        <is>
          <t>PH-02</t>
        </is>
      </c>
      <c r="F77" s="2" t="inlineStr">
        <is>
          <t>Solution Design &amp; Foundations</t>
        </is>
      </c>
      <c r="G77" s="2" t="inlineStr">
        <is>
          <t>CIN-T-009</t>
        </is>
      </c>
      <c r="H77" s="2" t="inlineStr">
        <is>
          <t>24120244</t>
        </is>
      </c>
      <c r="I77" s="2" t="inlineStr">
        <is>
          <t>Phan Van Viet</t>
        </is>
      </c>
      <c r="J77" s="2" t="inlineStr">
        <is>
          <t>Sprint 2</t>
        </is>
      </c>
      <c r="K77" s="2" t="inlineStr">
        <is>
          <t>24120098</t>
        </is>
      </c>
      <c r="L77" s="2" t="inlineStr">
        <is>
          <t>Nguyen Quoc Nam</t>
        </is>
      </c>
      <c r="M77" s="3" t="n">
        <v>46312</v>
      </c>
      <c r="N77" s="3" t="n">
        <v>46325</v>
      </c>
      <c r="O77" s="2" t="n">
        <v>2</v>
      </c>
      <c r="P77" s="2" t="inlineStr">
        <is>
          <t>ORIG-055</t>
        </is>
      </c>
      <c r="Q77" s="2" t="inlineStr">
        <is>
          <t>High</t>
        </is>
      </c>
      <c r="R77" s="2" t="inlineStr">
        <is>
          <t>Planned</t>
        </is>
      </c>
    </row>
    <row r="78">
      <c r="A78" s="2" t="inlineStr">
        <is>
          <t>Sub-task</t>
        </is>
      </c>
      <c r="B78" s="2" t="inlineStr">
        <is>
          <t>CIN-SUB-056</t>
        </is>
      </c>
      <c r="C78" s="2" t="inlineStr">
        <is>
          <t>CIN-T-009</t>
        </is>
      </c>
      <c r="D78" s="2" t="inlineStr">
        <is>
          <t>Trang Ticket Type</t>
        </is>
      </c>
      <c r="E78" s="2" t="inlineStr">
        <is>
          <t>PH-02</t>
        </is>
      </c>
      <c r="F78" s="2" t="inlineStr">
        <is>
          <t>Solution Design &amp; Foundations</t>
        </is>
      </c>
      <c r="G78" s="2" t="inlineStr">
        <is>
          <t>CIN-T-009</t>
        </is>
      </c>
      <c r="H78" s="2" t="inlineStr">
        <is>
          <t>24120244</t>
        </is>
      </c>
      <c r="I78" s="2" t="inlineStr">
        <is>
          <t>Phan Van Viet</t>
        </is>
      </c>
      <c r="J78" s="2" t="inlineStr">
        <is>
          <t>Sprint 2</t>
        </is>
      </c>
      <c r="K78" s="2" t="inlineStr">
        <is>
          <t>24120244</t>
        </is>
      </c>
      <c r="L78" s="2" t="inlineStr">
        <is>
          <t>Phan Van Viet</t>
        </is>
      </c>
      <c r="M78" s="3" t="n">
        <v>46312</v>
      </c>
      <c r="N78" s="3" t="n">
        <v>46325</v>
      </c>
      <c r="O78" s="2" t="n">
        <v>3</v>
      </c>
      <c r="P78" s="2" t="inlineStr">
        <is>
          <t>ORIG-056</t>
        </is>
      </c>
      <c r="Q78" s="2" t="inlineStr">
        <is>
          <t>High</t>
        </is>
      </c>
      <c r="R78" s="2" t="inlineStr">
        <is>
          <t>Planned</t>
        </is>
      </c>
    </row>
    <row r="79">
      <c r="A79" s="2" t="inlineStr">
        <is>
          <t>Sub-task</t>
        </is>
      </c>
      <c r="B79" s="2" t="inlineStr">
        <is>
          <t>CIN-SUB-057</t>
        </is>
      </c>
      <c r="C79" s="2" t="inlineStr">
        <is>
          <t>CIN-T-009</t>
        </is>
      </c>
      <c r="D79" s="2" t="inlineStr">
        <is>
          <t>Trang Booking Confirmation</t>
        </is>
      </c>
      <c r="E79" s="2" t="inlineStr">
        <is>
          <t>PH-02</t>
        </is>
      </c>
      <c r="F79" s="2" t="inlineStr">
        <is>
          <t>Solution Design &amp; Foundations</t>
        </is>
      </c>
      <c r="G79" s="2" t="inlineStr">
        <is>
          <t>CIN-T-009</t>
        </is>
      </c>
      <c r="H79" s="2" t="inlineStr">
        <is>
          <t>24120244</t>
        </is>
      </c>
      <c r="I79" s="2" t="inlineStr">
        <is>
          <t>Phan Van Viet</t>
        </is>
      </c>
      <c r="J79" s="2" t="inlineStr">
        <is>
          <t>Sprint 2</t>
        </is>
      </c>
      <c r="K79" s="2" t="inlineStr">
        <is>
          <t>24120235</t>
        </is>
      </c>
      <c r="L79" s="2" t="inlineStr">
        <is>
          <t>Huynh Thanh Tu</t>
        </is>
      </c>
      <c r="M79" s="3" t="n">
        <v>46312</v>
      </c>
      <c r="N79" s="3" t="n">
        <v>46325</v>
      </c>
      <c r="O79" s="2" t="n">
        <v>3</v>
      </c>
      <c r="P79" s="2" t="inlineStr">
        <is>
          <t>ORIG-057</t>
        </is>
      </c>
      <c r="Q79" s="2" t="inlineStr">
        <is>
          <t>High</t>
        </is>
      </c>
      <c r="R79" s="2" t="inlineStr">
        <is>
          <t>Planned</t>
        </is>
      </c>
    </row>
    <row r="80">
      <c r="A80" s="2" t="inlineStr">
        <is>
          <t>Sub-task</t>
        </is>
      </c>
      <c r="B80" s="2" t="inlineStr">
        <is>
          <t>CIN-SUB-058</t>
        </is>
      </c>
      <c r="C80" s="2" t="inlineStr">
        <is>
          <t>CIN-T-009</t>
        </is>
      </c>
      <c r="D80" s="2" t="inlineStr">
        <is>
          <t>Trang Payment</t>
        </is>
      </c>
      <c r="E80" s="2" t="inlineStr">
        <is>
          <t>PH-02</t>
        </is>
      </c>
      <c r="F80" s="2" t="inlineStr">
        <is>
          <t>Solution Design &amp; Foundations</t>
        </is>
      </c>
      <c r="G80" s="2" t="inlineStr">
        <is>
          <t>CIN-T-009</t>
        </is>
      </c>
      <c r="H80" s="2" t="inlineStr">
        <is>
          <t>24120244</t>
        </is>
      </c>
      <c r="I80" s="2" t="inlineStr">
        <is>
          <t>Phan Van Viet</t>
        </is>
      </c>
      <c r="J80" s="2" t="inlineStr">
        <is>
          <t>Sprint 2</t>
        </is>
      </c>
      <c r="K80" s="2" t="inlineStr">
        <is>
          <t>24120255</t>
        </is>
      </c>
      <c r="L80" s="2" t="inlineStr">
        <is>
          <t>Tran Thien An</t>
        </is>
      </c>
      <c r="M80" s="3" t="n">
        <v>46312</v>
      </c>
      <c r="N80" s="3" t="n">
        <v>46325</v>
      </c>
      <c r="O80" s="2" t="n">
        <v>3</v>
      </c>
      <c r="P80" s="2" t="inlineStr">
        <is>
          <t>ORIG-058</t>
        </is>
      </c>
      <c r="Q80" s="2" t="inlineStr">
        <is>
          <t>High</t>
        </is>
      </c>
      <c r="R80" s="2" t="inlineStr">
        <is>
          <t>Planned</t>
        </is>
      </c>
    </row>
    <row r="81">
      <c r="A81" s="2" t="inlineStr">
        <is>
          <t>Sub-task</t>
        </is>
      </c>
      <c r="B81" s="2" t="inlineStr">
        <is>
          <t>CIN-SUB-059</t>
        </is>
      </c>
      <c r="C81" s="2" t="inlineStr">
        <is>
          <t>CIN-T-009</t>
        </is>
      </c>
      <c r="D81" s="2" t="inlineStr">
        <is>
          <t>Trang Payment Result</t>
        </is>
      </c>
      <c r="E81" s="2" t="inlineStr">
        <is>
          <t>PH-02</t>
        </is>
      </c>
      <c r="F81" s="2" t="inlineStr">
        <is>
          <t>Solution Design &amp; Foundations</t>
        </is>
      </c>
      <c r="G81" s="2" t="inlineStr">
        <is>
          <t>CIN-T-009</t>
        </is>
      </c>
      <c r="H81" s="2" t="inlineStr">
        <is>
          <t>24120244</t>
        </is>
      </c>
      <c r="I81" s="2" t="inlineStr">
        <is>
          <t>Phan Van Viet</t>
        </is>
      </c>
      <c r="J81" s="2" t="inlineStr">
        <is>
          <t>Sprint 2</t>
        </is>
      </c>
      <c r="K81" s="2" t="inlineStr">
        <is>
          <t>24120271</t>
        </is>
      </c>
      <c r="L81" s="2" t="inlineStr">
        <is>
          <t>Nguyen Trung Chinh</t>
        </is>
      </c>
      <c r="M81" s="3" t="n">
        <v>46312</v>
      </c>
      <c r="N81" s="3" t="n">
        <v>46325</v>
      </c>
      <c r="O81" s="2" t="n">
        <v>3</v>
      </c>
      <c r="P81" s="2" t="inlineStr">
        <is>
          <t>ORIG-059</t>
        </is>
      </c>
      <c r="Q81" s="2" t="inlineStr">
        <is>
          <t>High</t>
        </is>
      </c>
      <c r="R81" s="2" t="inlineStr">
        <is>
          <t>Planned</t>
        </is>
      </c>
    </row>
    <row r="82">
      <c r="A82" s="2" t="inlineStr">
        <is>
          <t>Sub-task</t>
        </is>
      </c>
      <c r="B82" s="2" t="inlineStr">
        <is>
          <t>CIN-SUB-060</t>
        </is>
      </c>
      <c r="C82" s="2" t="inlineStr">
        <is>
          <t>CIN-T-009</t>
        </is>
      </c>
      <c r="D82" s="2" t="inlineStr">
        <is>
          <t>Trang My Tickets</t>
        </is>
      </c>
      <c r="E82" s="2" t="inlineStr">
        <is>
          <t>PH-02</t>
        </is>
      </c>
      <c r="F82" s="2" t="inlineStr">
        <is>
          <t>Solution Design &amp; Foundations</t>
        </is>
      </c>
      <c r="G82" s="2" t="inlineStr">
        <is>
          <t>CIN-T-009</t>
        </is>
      </c>
      <c r="H82" s="2" t="inlineStr">
        <is>
          <t>24120244</t>
        </is>
      </c>
      <c r="I82" s="2" t="inlineStr">
        <is>
          <t>Phan Van Viet</t>
        </is>
      </c>
      <c r="J82" s="2" t="inlineStr">
        <is>
          <t>Sprint 2</t>
        </is>
      </c>
      <c r="K82" s="2" t="inlineStr">
        <is>
          <t>24120098</t>
        </is>
      </c>
      <c r="L82" s="2" t="inlineStr">
        <is>
          <t>Nguyen Quoc Nam</t>
        </is>
      </c>
      <c r="M82" s="3" t="n">
        <v>46312</v>
      </c>
      <c r="N82" s="3" t="n">
        <v>46325</v>
      </c>
      <c r="O82" s="2" t="n">
        <v>3</v>
      </c>
      <c r="P82" s="2" t="inlineStr">
        <is>
          <t>ORIG-060</t>
        </is>
      </c>
      <c r="Q82" s="2" t="inlineStr">
        <is>
          <t>High</t>
        </is>
      </c>
      <c r="R82" s="2" t="inlineStr">
        <is>
          <t>Planned</t>
        </is>
      </c>
    </row>
    <row r="83">
      <c r="A83" s="2" t="inlineStr">
        <is>
          <t>Sub-task</t>
        </is>
      </c>
      <c r="B83" s="2" t="inlineStr">
        <is>
          <t>CIN-SUB-061</t>
        </is>
      </c>
      <c r="C83" s="2" t="inlineStr">
        <is>
          <t>CIN-T-009</t>
        </is>
      </c>
      <c r="D83" s="2" t="inlineStr">
        <is>
          <t>Trang Booking History</t>
        </is>
      </c>
      <c r="E83" s="2" t="inlineStr">
        <is>
          <t>PH-02</t>
        </is>
      </c>
      <c r="F83" s="2" t="inlineStr">
        <is>
          <t>Solution Design &amp; Foundations</t>
        </is>
      </c>
      <c r="G83" s="2" t="inlineStr">
        <is>
          <t>CIN-T-009</t>
        </is>
      </c>
      <c r="H83" s="2" t="inlineStr">
        <is>
          <t>24120244</t>
        </is>
      </c>
      <c r="I83" s="2" t="inlineStr">
        <is>
          <t>Phan Van Viet</t>
        </is>
      </c>
      <c r="J83" s="2" t="inlineStr">
        <is>
          <t>Sprint 2</t>
        </is>
      </c>
      <c r="K83" s="2" t="inlineStr">
        <is>
          <t>24120244</t>
        </is>
      </c>
      <c r="L83" s="2" t="inlineStr">
        <is>
          <t>Phan Van Viet</t>
        </is>
      </c>
      <c r="M83" s="3" t="n">
        <v>46312</v>
      </c>
      <c r="N83" s="3" t="n">
        <v>46325</v>
      </c>
      <c r="O83" s="2" t="n">
        <v>3</v>
      </c>
      <c r="P83" s="2" t="inlineStr">
        <is>
          <t>ORIG-061</t>
        </is>
      </c>
      <c r="Q83" s="2" t="inlineStr">
        <is>
          <t>High</t>
        </is>
      </c>
      <c r="R83" s="2" t="inlineStr">
        <is>
          <t>Planned</t>
        </is>
      </c>
    </row>
    <row r="84">
      <c r="A84" s="2" t="inlineStr">
        <is>
          <t>Sub-task</t>
        </is>
      </c>
      <c r="B84" s="2" t="inlineStr">
        <is>
          <t>CIN-SUB-062</t>
        </is>
      </c>
      <c r="C84" s="2" t="inlineStr">
        <is>
          <t>CIN-T-009</t>
        </is>
      </c>
      <c r="D84" s="2" t="inlineStr">
        <is>
          <t>Trang Profile</t>
        </is>
      </c>
      <c r="E84" s="2" t="inlineStr">
        <is>
          <t>PH-02</t>
        </is>
      </c>
      <c r="F84" s="2" t="inlineStr">
        <is>
          <t>Solution Design &amp; Foundations</t>
        </is>
      </c>
      <c r="G84" s="2" t="inlineStr">
        <is>
          <t>CIN-T-009</t>
        </is>
      </c>
      <c r="H84" s="2" t="inlineStr">
        <is>
          <t>24120244</t>
        </is>
      </c>
      <c r="I84" s="2" t="inlineStr">
        <is>
          <t>Phan Van Viet</t>
        </is>
      </c>
      <c r="J84" s="2" t="inlineStr">
        <is>
          <t>Sprint 2</t>
        </is>
      </c>
      <c r="K84" s="2" t="inlineStr">
        <is>
          <t>24120235</t>
        </is>
      </c>
      <c r="L84" s="2" t="inlineStr">
        <is>
          <t>Huynh Thanh Tu</t>
        </is>
      </c>
      <c r="M84" s="3" t="n">
        <v>46312</v>
      </c>
      <c r="N84" s="3" t="n">
        <v>46325</v>
      </c>
      <c r="O84" s="2" t="n">
        <v>2</v>
      </c>
      <c r="P84" s="2" t="inlineStr">
        <is>
          <t>ORIG-062</t>
        </is>
      </c>
      <c r="Q84" s="2" t="inlineStr">
        <is>
          <t>High</t>
        </is>
      </c>
      <c r="R84" s="2" t="inlineStr">
        <is>
          <t>Planned</t>
        </is>
      </c>
    </row>
    <row r="85">
      <c r="A85" s="6" t="inlineStr">
        <is>
          <t>Task</t>
        </is>
      </c>
      <c r="B85" s="6" t="inlineStr">
        <is>
          <t>CIN-T-010</t>
        </is>
      </c>
      <c r="C85" s="6" t="inlineStr">
        <is>
          <t>PH-02</t>
        </is>
      </c>
      <c r="D85" s="6" t="inlineStr">
        <is>
          <t>Xác định component, UI state, dữ liệu và responsive behavior</t>
        </is>
      </c>
      <c r="E85" s="6" t="inlineStr">
        <is>
          <t>PH-02</t>
        </is>
      </c>
      <c r="F85" s="6" t="inlineStr">
        <is>
          <t>Solution Design &amp; Foundations</t>
        </is>
      </c>
      <c r="G85" s="6" t="inlineStr">
        <is>
          <t>CIN-T-010</t>
        </is>
      </c>
      <c r="H85" s="6" t="inlineStr">
        <is>
          <t>24120255</t>
        </is>
      </c>
      <c r="I85" s="6" t="inlineStr">
        <is>
          <t>Tran Thien An</t>
        </is>
      </c>
      <c r="J85" s="6" t="inlineStr">
        <is>
          <t>Sprint 2</t>
        </is>
      </c>
      <c r="K85" s="6" t="inlineStr"/>
      <c r="L85" s="6" t="inlineStr"/>
      <c r="M85" s="7" t="n">
        <v>46312</v>
      </c>
      <c r="N85" s="7" t="n">
        <v>46325</v>
      </c>
      <c r="O85" s="6">
        <f>SUMIFS('Master Subtasks'!$V$2:$V$293,'Master Subtasks'!$L$2:$L$293,$B85)</f>
        <v/>
      </c>
      <c r="P85" s="6" t="inlineStr"/>
      <c r="Q85" s="6" t="inlineStr">
        <is>
          <t>Medium</t>
        </is>
      </c>
      <c r="R85" s="6" t="inlineStr">
        <is>
          <t>Planned</t>
        </is>
      </c>
    </row>
    <row r="86">
      <c r="A86" s="2" t="inlineStr">
        <is>
          <t>Sub-task</t>
        </is>
      </c>
      <c r="B86" s="2" t="inlineStr">
        <is>
          <t>CIN-SUB-063</t>
        </is>
      </c>
      <c r="C86" s="2" t="inlineStr">
        <is>
          <t>CIN-T-010</t>
        </is>
      </c>
      <c r="D86" s="2" t="inlineStr">
        <is>
          <t>Xác định Component dùng chung</t>
        </is>
      </c>
      <c r="E86" s="2" t="inlineStr">
        <is>
          <t>PH-02</t>
        </is>
      </c>
      <c r="F86" s="2" t="inlineStr">
        <is>
          <t>Solution Design &amp; Foundations</t>
        </is>
      </c>
      <c r="G86" s="2" t="inlineStr">
        <is>
          <t>CIN-T-010</t>
        </is>
      </c>
      <c r="H86" s="2" t="inlineStr">
        <is>
          <t>24120255</t>
        </is>
      </c>
      <c r="I86" s="2" t="inlineStr">
        <is>
          <t>Tran Thien An</t>
        </is>
      </c>
      <c r="J86" s="2" t="inlineStr">
        <is>
          <t>Sprint 2</t>
        </is>
      </c>
      <c r="K86" s="2" t="inlineStr">
        <is>
          <t>24120255</t>
        </is>
      </c>
      <c r="L86" s="2" t="inlineStr">
        <is>
          <t>Tran Thien An</t>
        </is>
      </c>
      <c r="M86" s="3" t="n">
        <v>46312</v>
      </c>
      <c r="N86" s="3" t="n">
        <v>46325</v>
      </c>
      <c r="O86" s="2" t="n">
        <v>2</v>
      </c>
      <c r="P86" s="2" t="inlineStr">
        <is>
          <t>ORIG-063</t>
        </is>
      </c>
      <c r="Q86" s="2" t="inlineStr">
        <is>
          <t>Medium</t>
        </is>
      </c>
      <c r="R86" s="2" t="inlineStr">
        <is>
          <t>Planned</t>
        </is>
      </c>
    </row>
    <row r="87">
      <c r="A87" s="2" t="inlineStr">
        <is>
          <t>Sub-task</t>
        </is>
      </c>
      <c r="B87" s="2" t="inlineStr">
        <is>
          <t>CIN-SUB-064</t>
        </is>
      </c>
      <c r="C87" s="2" t="inlineStr">
        <is>
          <t>CIN-T-010</t>
        </is>
      </c>
      <c r="D87" s="2" t="inlineStr">
        <is>
          <t>Xác định UI State</t>
        </is>
      </c>
      <c r="E87" s="2" t="inlineStr">
        <is>
          <t>PH-02</t>
        </is>
      </c>
      <c r="F87" s="2" t="inlineStr">
        <is>
          <t>Solution Design &amp; Foundations</t>
        </is>
      </c>
      <c r="G87" s="2" t="inlineStr">
        <is>
          <t>CIN-T-010</t>
        </is>
      </c>
      <c r="H87" s="2" t="inlineStr">
        <is>
          <t>24120255</t>
        </is>
      </c>
      <c r="I87" s="2" t="inlineStr">
        <is>
          <t>Tran Thien An</t>
        </is>
      </c>
      <c r="J87" s="2" t="inlineStr">
        <is>
          <t>Sprint 2</t>
        </is>
      </c>
      <c r="K87" s="2" t="inlineStr">
        <is>
          <t>24120271</t>
        </is>
      </c>
      <c r="L87" s="2" t="inlineStr">
        <is>
          <t>Nguyen Trung Chinh</t>
        </is>
      </c>
      <c r="M87" s="3" t="n">
        <v>46312</v>
      </c>
      <c r="N87" s="3" t="n">
        <v>46325</v>
      </c>
      <c r="O87" s="2" t="n">
        <v>2</v>
      </c>
      <c r="P87" s="2" t="inlineStr">
        <is>
          <t>ORIG-064</t>
        </is>
      </c>
      <c r="Q87" s="2" t="inlineStr">
        <is>
          <t>Medium</t>
        </is>
      </c>
      <c r="R87" s="2" t="inlineStr">
        <is>
          <t>Planned</t>
        </is>
      </c>
    </row>
    <row r="88">
      <c r="A88" s="2" t="inlineStr">
        <is>
          <t>Sub-task</t>
        </is>
      </c>
      <c r="B88" s="2" t="inlineStr">
        <is>
          <t>CIN-SUB-065</t>
        </is>
      </c>
      <c r="C88" s="2" t="inlineStr">
        <is>
          <t>CIN-T-010</t>
        </is>
      </c>
      <c r="D88" s="2" t="inlineStr">
        <is>
          <t>Xác định dữ liệu cần hiển thị</t>
        </is>
      </c>
      <c r="E88" s="2" t="inlineStr">
        <is>
          <t>PH-02</t>
        </is>
      </c>
      <c r="F88" s="2" t="inlineStr">
        <is>
          <t>Solution Design &amp; Foundations</t>
        </is>
      </c>
      <c r="G88" s="2" t="inlineStr">
        <is>
          <t>CIN-T-010</t>
        </is>
      </c>
      <c r="H88" s="2" t="inlineStr">
        <is>
          <t>24120255</t>
        </is>
      </c>
      <c r="I88" s="2" t="inlineStr">
        <is>
          <t>Tran Thien An</t>
        </is>
      </c>
      <c r="J88" s="2" t="inlineStr">
        <is>
          <t>Sprint 2</t>
        </is>
      </c>
      <c r="K88" s="2" t="inlineStr">
        <is>
          <t>24120098</t>
        </is>
      </c>
      <c r="L88" s="2" t="inlineStr">
        <is>
          <t>Nguyen Quoc Nam</t>
        </is>
      </c>
      <c r="M88" s="3" t="n">
        <v>46312</v>
      </c>
      <c r="N88" s="3" t="n">
        <v>46325</v>
      </c>
      <c r="O88" s="2" t="n">
        <v>2</v>
      </c>
      <c r="P88" s="2" t="inlineStr">
        <is>
          <t>ORIG-065</t>
        </is>
      </c>
      <c r="Q88" s="2" t="inlineStr">
        <is>
          <t>Medium</t>
        </is>
      </c>
      <c r="R88" s="2" t="inlineStr">
        <is>
          <t>Planned</t>
        </is>
      </c>
    </row>
    <row r="89">
      <c r="A89" s="2" t="inlineStr">
        <is>
          <t>Sub-task</t>
        </is>
      </c>
      <c r="B89" s="2" t="inlineStr">
        <is>
          <t>CIN-SUB-066</t>
        </is>
      </c>
      <c r="C89" s="2" t="inlineStr">
        <is>
          <t>CIN-T-010</t>
        </is>
      </c>
      <c r="D89" s="2" t="inlineStr">
        <is>
          <t>Xác định thao tác người dùng</t>
        </is>
      </c>
      <c r="E89" s="2" t="inlineStr">
        <is>
          <t>PH-02</t>
        </is>
      </c>
      <c r="F89" s="2" t="inlineStr">
        <is>
          <t>Solution Design &amp; Foundations</t>
        </is>
      </c>
      <c r="G89" s="2" t="inlineStr">
        <is>
          <t>CIN-T-010</t>
        </is>
      </c>
      <c r="H89" s="2" t="inlineStr">
        <is>
          <t>24120255</t>
        </is>
      </c>
      <c r="I89" s="2" t="inlineStr">
        <is>
          <t>Tran Thien An</t>
        </is>
      </c>
      <c r="J89" s="2" t="inlineStr">
        <is>
          <t>Sprint 2</t>
        </is>
      </c>
      <c r="K89" s="2" t="inlineStr">
        <is>
          <t>24120235</t>
        </is>
      </c>
      <c r="L89" s="2" t="inlineStr">
        <is>
          <t>Huynh Thanh Tu</t>
        </is>
      </c>
      <c r="M89" s="3" t="n">
        <v>46312</v>
      </c>
      <c r="N89" s="3" t="n">
        <v>46325</v>
      </c>
      <c r="O89" s="2" t="n">
        <v>3</v>
      </c>
      <c r="P89" s="2" t="inlineStr">
        <is>
          <t>ORIG-066</t>
        </is>
      </c>
      <c r="Q89" s="2" t="inlineStr">
        <is>
          <t>Medium</t>
        </is>
      </c>
      <c r="R89" s="2" t="inlineStr">
        <is>
          <t>Planned</t>
        </is>
      </c>
    </row>
    <row r="90">
      <c r="A90" s="2" t="inlineStr">
        <is>
          <t>Sub-task</t>
        </is>
      </c>
      <c r="B90" s="2" t="inlineStr">
        <is>
          <t>CIN-SUB-067</t>
        </is>
      </c>
      <c r="C90" s="2" t="inlineStr">
        <is>
          <t>CIN-T-010</t>
        </is>
      </c>
      <c r="D90" s="2" t="inlineStr">
        <is>
          <t>Xác định Responsive</t>
        </is>
      </c>
      <c r="E90" s="2" t="inlineStr">
        <is>
          <t>PH-02</t>
        </is>
      </c>
      <c r="F90" s="2" t="inlineStr">
        <is>
          <t>Solution Design &amp; Foundations</t>
        </is>
      </c>
      <c r="G90" s="2" t="inlineStr">
        <is>
          <t>CIN-T-010</t>
        </is>
      </c>
      <c r="H90" s="2" t="inlineStr">
        <is>
          <t>24120255</t>
        </is>
      </c>
      <c r="I90" s="2" t="inlineStr">
        <is>
          <t>Tran Thien An</t>
        </is>
      </c>
      <c r="J90" s="2" t="inlineStr">
        <is>
          <t>Sprint 2</t>
        </is>
      </c>
      <c r="K90" s="2" t="inlineStr">
        <is>
          <t>24120255</t>
        </is>
      </c>
      <c r="L90" s="2" t="inlineStr">
        <is>
          <t>Tran Thien An</t>
        </is>
      </c>
      <c r="M90" s="3" t="n">
        <v>46312</v>
      </c>
      <c r="N90" s="3" t="n">
        <v>46325</v>
      </c>
      <c r="O90" s="2" t="n">
        <v>3</v>
      </c>
      <c r="P90" s="2" t="inlineStr">
        <is>
          <t>ORIG-067</t>
        </is>
      </c>
      <c r="Q90" s="2" t="inlineStr">
        <is>
          <t>Medium</t>
        </is>
      </c>
      <c r="R90" s="2" t="inlineStr">
        <is>
          <t>Planned</t>
        </is>
      </c>
    </row>
    <row r="91">
      <c r="A91" s="6" t="inlineStr">
        <is>
          <t>Task</t>
        </is>
      </c>
      <c r="B91" s="6" t="inlineStr">
        <is>
          <t>CIN-T-011</t>
        </is>
      </c>
      <c r="C91" s="6" t="inlineStr">
        <is>
          <t>PH-02</t>
        </is>
      </c>
      <c r="D91" s="6" t="inlineStr">
        <is>
          <t>Chốt API contract và chính sách truy cập</t>
        </is>
      </c>
      <c r="E91" s="6" t="inlineStr">
        <is>
          <t>PH-02</t>
        </is>
      </c>
      <c r="F91" s="6" t="inlineStr">
        <is>
          <t>Solution Design &amp; Foundations</t>
        </is>
      </c>
      <c r="G91" s="6" t="inlineStr">
        <is>
          <t>CIN-T-011</t>
        </is>
      </c>
      <c r="H91" s="6" t="inlineStr">
        <is>
          <t>24120244</t>
        </is>
      </c>
      <c r="I91" s="6" t="inlineStr">
        <is>
          <t>Phan Van Viet</t>
        </is>
      </c>
      <c r="J91" s="6" t="inlineStr">
        <is>
          <t>Sprint 2</t>
        </is>
      </c>
      <c r="K91" s="6" t="inlineStr"/>
      <c r="L91" s="6" t="inlineStr"/>
      <c r="M91" s="7" t="n">
        <v>46312</v>
      </c>
      <c r="N91" s="7" t="n">
        <v>46325</v>
      </c>
      <c r="O91" s="6">
        <f>SUMIFS('Master Subtasks'!$V$2:$V$293,'Master Subtasks'!$L$2:$L$293,$B91)</f>
        <v/>
      </c>
      <c r="P91" s="6" t="inlineStr"/>
      <c r="Q91" s="6" t="inlineStr">
        <is>
          <t>High</t>
        </is>
      </c>
      <c r="R91" s="6" t="inlineStr">
        <is>
          <t>Planned</t>
        </is>
      </c>
    </row>
    <row r="92">
      <c r="A92" s="2" t="inlineStr">
        <is>
          <t>Sub-task</t>
        </is>
      </c>
      <c r="B92" s="2" t="inlineStr">
        <is>
          <t>CIN-SUB-068</t>
        </is>
      </c>
      <c r="C92" s="2" t="inlineStr">
        <is>
          <t>CIN-T-011</t>
        </is>
      </c>
      <c r="D92" s="2" t="inlineStr">
        <is>
          <t>Xác định API Contract</t>
        </is>
      </c>
      <c r="E92" s="2" t="inlineStr">
        <is>
          <t>PH-02</t>
        </is>
      </c>
      <c r="F92" s="2" t="inlineStr">
        <is>
          <t>Solution Design &amp; Foundations</t>
        </is>
      </c>
      <c r="G92" s="2" t="inlineStr">
        <is>
          <t>CIN-T-011</t>
        </is>
      </c>
      <c r="H92" s="2" t="inlineStr">
        <is>
          <t>24120244</t>
        </is>
      </c>
      <c r="I92" s="2" t="inlineStr">
        <is>
          <t>Phan Van Viet</t>
        </is>
      </c>
      <c r="J92" s="2" t="inlineStr">
        <is>
          <t>Sprint 2</t>
        </is>
      </c>
      <c r="K92" s="2" t="inlineStr">
        <is>
          <t>24120244</t>
        </is>
      </c>
      <c r="L92" s="2" t="inlineStr">
        <is>
          <t>Phan Van Viet</t>
        </is>
      </c>
      <c r="M92" s="3" t="n">
        <v>46312</v>
      </c>
      <c r="N92" s="3" t="n">
        <v>46325</v>
      </c>
      <c r="O92" s="2" t="n">
        <v>3</v>
      </c>
      <c r="P92" s="2" t="inlineStr">
        <is>
          <t>ORIG-068</t>
        </is>
      </c>
      <c r="Q92" s="2" t="inlineStr">
        <is>
          <t>High</t>
        </is>
      </c>
      <c r="R92" s="2" t="inlineStr">
        <is>
          <t>Planned</t>
        </is>
      </c>
    </row>
    <row r="93">
      <c r="A93" s="2" t="inlineStr">
        <is>
          <t>Sub-task</t>
        </is>
      </c>
      <c r="B93" s="2" t="inlineStr">
        <is>
          <t>CIN-SUB-069</t>
        </is>
      </c>
      <c r="C93" s="2" t="inlineStr">
        <is>
          <t>CIN-T-011</t>
        </is>
      </c>
      <c r="D93" s="2" t="inlineStr">
        <is>
          <t>Thiết kế API Endpoint</t>
        </is>
      </c>
      <c r="E93" s="2" t="inlineStr">
        <is>
          <t>PH-02</t>
        </is>
      </c>
      <c r="F93" s="2" t="inlineStr">
        <is>
          <t>Solution Design &amp; Foundations</t>
        </is>
      </c>
      <c r="G93" s="2" t="inlineStr">
        <is>
          <t>CIN-T-011</t>
        </is>
      </c>
      <c r="H93" s="2" t="inlineStr">
        <is>
          <t>24120244</t>
        </is>
      </c>
      <c r="I93" s="2" t="inlineStr">
        <is>
          <t>Phan Van Viet</t>
        </is>
      </c>
      <c r="J93" s="2" t="inlineStr">
        <is>
          <t>Sprint 2</t>
        </is>
      </c>
      <c r="K93" s="2" t="inlineStr">
        <is>
          <t>24120271</t>
        </is>
      </c>
      <c r="L93" s="2" t="inlineStr">
        <is>
          <t>Nguyen Trung Chinh</t>
        </is>
      </c>
      <c r="M93" s="3" t="n">
        <v>46312</v>
      </c>
      <c r="N93" s="3" t="n">
        <v>46325</v>
      </c>
      <c r="O93" s="2" t="n">
        <v>3</v>
      </c>
      <c r="P93" s="2" t="inlineStr">
        <is>
          <t>ORIG-069</t>
        </is>
      </c>
      <c r="Q93" s="2" t="inlineStr">
        <is>
          <t>High</t>
        </is>
      </c>
      <c r="R93" s="2" t="inlineStr">
        <is>
          <t>Planned</t>
        </is>
      </c>
    </row>
    <row r="94">
      <c r="A94" s="2" t="inlineStr">
        <is>
          <t>Sub-task</t>
        </is>
      </c>
      <c r="B94" s="2" t="inlineStr">
        <is>
          <t>CIN-SUB-070</t>
        </is>
      </c>
      <c r="C94" s="2" t="inlineStr">
        <is>
          <t>CIN-T-011</t>
        </is>
      </c>
      <c r="D94" s="2" t="inlineStr">
        <is>
          <t>Thiết kế Request / Response</t>
        </is>
      </c>
      <c r="E94" s="2" t="inlineStr">
        <is>
          <t>PH-02</t>
        </is>
      </c>
      <c r="F94" s="2" t="inlineStr">
        <is>
          <t>Solution Design &amp; Foundations</t>
        </is>
      </c>
      <c r="G94" s="2" t="inlineStr">
        <is>
          <t>CIN-T-011</t>
        </is>
      </c>
      <c r="H94" s="2" t="inlineStr">
        <is>
          <t>24120244</t>
        </is>
      </c>
      <c r="I94" s="2" t="inlineStr">
        <is>
          <t>Phan Van Viet</t>
        </is>
      </c>
      <c r="J94" s="2" t="inlineStr">
        <is>
          <t>Sprint 2</t>
        </is>
      </c>
      <c r="K94" s="2" t="inlineStr">
        <is>
          <t>24120098</t>
        </is>
      </c>
      <c r="L94" s="2" t="inlineStr">
        <is>
          <t>Nguyen Quoc Nam</t>
        </is>
      </c>
      <c r="M94" s="3" t="n">
        <v>46312</v>
      </c>
      <c r="N94" s="3" t="n">
        <v>46325</v>
      </c>
      <c r="O94" s="2" t="n">
        <v>3</v>
      </c>
      <c r="P94" s="2" t="inlineStr">
        <is>
          <t>ORIG-070</t>
        </is>
      </c>
      <c r="Q94" s="2" t="inlineStr">
        <is>
          <t>High</t>
        </is>
      </c>
      <c r="R94" s="2" t="inlineStr">
        <is>
          <t>Planned</t>
        </is>
      </c>
    </row>
    <row r="95">
      <c r="A95" s="2" t="inlineStr">
        <is>
          <t>Sub-task</t>
        </is>
      </c>
      <c r="B95" s="2" t="inlineStr">
        <is>
          <t>CIN-SUB-071</t>
        </is>
      </c>
      <c r="C95" s="2" t="inlineStr">
        <is>
          <t>CIN-T-011</t>
        </is>
      </c>
      <c r="D95" s="2" t="inlineStr">
        <is>
          <t>Xác định API Authentication / Authorization</t>
        </is>
      </c>
      <c r="E95" s="2" t="inlineStr">
        <is>
          <t>PH-02</t>
        </is>
      </c>
      <c r="F95" s="2" t="inlineStr">
        <is>
          <t>Solution Design &amp; Foundations</t>
        </is>
      </c>
      <c r="G95" s="2" t="inlineStr">
        <is>
          <t>CIN-T-011</t>
        </is>
      </c>
      <c r="H95" s="2" t="inlineStr">
        <is>
          <t>24120244</t>
        </is>
      </c>
      <c r="I95" s="2" t="inlineStr">
        <is>
          <t>Phan Van Viet</t>
        </is>
      </c>
      <c r="J95" s="2" t="inlineStr">
        <is>
          <t>Sprint 2</t>
        </is>
      </c>
      <c r="K95" s="2" t="inlineStr">
        <is>
          <t>24120235</t>
        </is>
      </c>
      <c r="L95" s="2" t="inlineStr">
        <is>
          <t>Huynh Thanh Tu</t>
        </is>
      </c>
      <c r="M95" s="3" t="n">
        <v>46312</v>
      </c>
      <c r="N95" s="3" t="n">
        <v>46325</v>
      </c>
      <c r="O95" s="2" t="n">
        <v>3</v>
      </c>
      <c r="P95" s="2" t="inlineStr">
        <is>
          <t>ORIG-071</t>
        </is>
      </c>
      <c r="Q95" s="2" t="inlineStr">
        <is>
          <t>High</t>
        </is>
      </c>
      <c r="R95" s="2" t="inlineStr">
        <is>
          <t>Planned</t>
        </is>
      </c>
    </row>
    <row r="96">
      <c r="A96" s="6" t="inlineStr">
        <is>
          <t>Task</t>
        </is>
      </c>
      <c r="B96" s="6" t="inlineStr">
        <is>
          <t>CIN-T-014</t>
        </is>
      </c>
      <c r="C96" s="6" t="inlineStr">
        <is>
          <t>PH-02</t>
        </is>
      </c>
      <c r="D96" s="6" t="inlineStr">
        <is>
          <t>Định nghĩa REST API và DTO foundation</t>
        </is>
      </c>
      <c r="E96" s="6" t="inlineStr">
        <is>
          <t>PH-02</t>
        </is>
      </c>
      <c r="F96" s="6" t="inlineStr">
        <is>
          <t>Solution Design &amp; Foundations</t>
        </is>
      </c>
      <c r="G96" s="6" t="inlineStr">
        <is>
          <t>CIN-T-014</t>
        </is>
      </c>
      <c r="H96" s="6" t="inlineStr">
        <is>
          <t>24120244</t>
        </is>
      </c>
      <c r="I96" s="6" t="inlineStr">
        <is>
          <t>Phan Van Viet</t>
        </is>
      </c>
      <c r="J96" s="6" t="inlineStr">
        <is>
          <t>Sprint 3</t>
        </is>
      </c>
      <c r="K96" s="6" t="inlineStr"/>
      <c r="L96" s="6" t="inlineStr"/>
      <c r="M96" s="7" t="n">
        <v>46326</v>
      </c>
      <c r="N96" s="7" t="n">
        <v>46339</v>
      </c>
      <c r="O96" s="6">
        <f>SUMIFS('Master Subtasks'!$V$2:$V$293,'Master Subtasks'!$L$2:$L$293,$B96)</f>
        <v/>
      </c>
      <c r="P96" s="6" t="inlineStr"/>
      <c r="Q96" s="6" t="inlineStr">
        <is>
          <t>High</t>
        </is>
      </c>
      <c r="R96" s="6" t="inlineStr">
        <is>
          <t>Planned</t>
        </is>
      </c>
    </row>
    <row r="97">
      <c r="A97" s="2" t="inlineStr">
        <is>
          <t>Sub-task</t>
        </is>
      </c>
      <c r="B97" s="2" t="inlineStr">
        <is>
          <t>CIN-SUB-086</t>
        </is>
      </c>
      <c r="C97" s="2" t="inlineStr">
        <is>
          <t>CIN-T-014</t>
        </is>
      </c>
      <c r="D97" s="2" t="inlineStr">
        <is>
          <t>Thiết kế REST API</t>
        </is>
      </c>
      <c r="E97" s="2" t="inlineStr">
        <is>
          <t>PH-02</t>
        </is>
      </c>
      <c r="F97" s="2" t="inlineStr">
        <is>
          <t>Solution Design &amp; Foundations</t>
        </is>
      </c>
      <c r="G97" s="2" t="inlineStr">
        <is>
          <t>CIN-T-014</t>
        </is>
      </c>
      <c r="H97" s="2" t="inlineStr">
        <is>
          <t>24120244</t>
        </is>
      </c>
      <c r="I97" s="2" t="inlineStr">
        <is>
          <t>Phan Van Viet</t>
        </is>
      </c>
      <c r="J97" s="2" t="inlineStr">
        <is>
          <t>Sprint 3</t>
        </is>
      </c>
      <c r="K97" s="2" t="inlineStr">
        <is>
          <t>24120244</t>
        </is>
      </c>
      <c r="L97" s="2" t="inlineStr">
        <is>
          <t>Phan Van Viet</t>
        </is>
      </c>
      <c r="M97" s="3" t="n">
        <v>46326</v>
      </c>
      <c r="N97" s="3" t="n">
        <v>46339</v>
      </c>
      <c r="O97" s="2" t="n">
        <v>3</v>
      </c>
      <c r="P97" s="2" t="inlineStr">
        <is>
          <t>ORIG-086</t>
        </is>
      </c>
      <c r="Q97" s="2" t="inlineStr">
        <is>
          <t>High</t>
        </is>
      </c>
      <c r="R97" s="2" t="inlineStr">
        <is>
          <t>Planned</t>
        </is>
      </c>
    </row>
    <row r="98">
      <c r="A98" s="2" t="inlineStr">
        <is>
          <t>Sub-task</t>
        </is>
      </c>
      <c r="B98" s="2" t="inlineStr">
        <is>
          <t>CIN-SUB-087</t>
        </is>
      </c>
      <c r="C98" s="2" t="inlineStr">
        <is>
          <t>CIN-T-014</t>
        </is>
      </c>
      <c r="D98" s="2" t="inlineStr">
        <is>
          <t>Thiết kế DTO</t>
        </is>
      </c>
      <c r="E98" s="2" t="inlineStr">
        <is>
          <t>PH-02</t>
        </is>
      </c>
      <c r="F98" s="2" t="inlineStr">
        <is>
          <t>Solution Design &amp; Foundations</t>
        </is>
      </c>
      <c r="G98" s="2" t="inlineStr">
        <is>
          <t>CIN-T-014</t>
        </is>
      </c>
      <c r="H98" s="2" t="inlineStr">
        <is>
          <t>24120244</t>
        </is>
      </c>
      <c r="I98" s="2" t="inlineStr">
        <is>
          <t>Phan Van Viet</t>
        </is>
      </c>
      <c r="J98" s="2" t="inlineStr">
        <is>
          <t>Sprint 3</t>
        </is>
      </c>
      <c r="K98" s="2" t="inlineStr">
        <is>
          <t>24120235</t>
        </is>
      </c>
      <c r="L98" s="2" t="inlineStr">
        <is>
          <t>Huynh Thanh Tu</t>
        </is>
      </c>
      <c r="M98" s="3" t="n">
        <v>46326</v>
      </c>
      <c r="N98" s="3" t="n">
        <v>46339</v>
      </c>
      <c r="O98" s="2" t="n">
        <v>2</v>
      </c>
      <c r="P98" s="2" t="inlineStr">
        <is>
          <t>ORIG-087</t>
        </is>
      </c>
      <c r="Q98" s="2" t="inlineStr">
        <is>
          <t>High</t>
        </is>
      </c>
      <c r="R98" s="2" t="inlineStr">
        <is>
          <t>Planned</t>
        </is>
      </c>
    </row>
    <row r="99">
      <c r="A99" s="6" t="inlineStr">
        <is>
          <t>Task</t>
        </is>
      </c>
      <c r="B99" s="6" t="inlineStr">
        <is>
          <t>CIN-T-037</t>
        </is>
      </c>
      <c r="C99" s="6" t="inlineStr">
        <is>
          <t>PH-02</t>
        </is>
      </c>
      <c r="D99" s="6" t="inlineStr">
        <is>
          <t>Chuẩn hóa môi trường phát triển local</t>
        </is>
      </c>
      <c r="E99" s="6" t="inlineStr">
        <is>
          <t>PH-02</t>
        </is>
      </c>
      <c r="F99" s="6" t="inlineStr">
        <is>
          <t>Solution Design &amp; Foundations</t>
        </is>
      </c>
      <c r="G99" s="6" t="inlineStr">
        <is>
          <t>CIN-T-037</t>
        </is>
      </c>
      <c r="H99" s="6" t="inlineStr">
        <is>
          <t>24120255</t>
        </is>
      </c>
      <c r="I99" s="6" t="inlineStr">
        <is>
          <t>Tran Thien An</t>
        </is>
      </c>
      <c r="J99" s="6" t="inlineStr">
        <is>
          <t>Sprint 2</t>
        </is>
      </c>
      <c r="K99" s="6" t="inlineStr"/>
      <c r="L99" s="6" t="inlineStr"/>
      <c r="M99" s="7" t="n">
        <v>46312</v>
      </c>
      <c r="N99" s="7" t="n">
        <v>46325</v>
      </c>
      <c r="O99" s="6">
        <f>SUMIFS('Master Subtasks'!$V$2:$V$293,'Master Subtasks'!$L$2:$L$293,$B99)</f>
        <v/>
      </c>
      <c r="P99" s="6" t="inlineStr"/>
      <c r="Q99" s="6" t="inlineStr">
        <is>
          <t>Medium</t>
        </is>
      </c>
      <c r="R99" s="6" t="inlineStr">
        <is>
          <t>Planned</t>
        </is>
      </c>
    </row>
    <row r="100">
      <c r="A100" s="2" t="inlineStr">
        <is>
          <t>Sub-task</t>
        </is>
      </c>
      <c r="B100" s="2" t="inlineStr">
        <is>
          <t>CIN-SUB-222</t>
        </is>
      </c>
      <c r="C100" s="2" t="inlineStr">
        <is>
          <t>CIN-T-037</t>
        </is>
      </c>
      <c r="D100" s="2" t="inlineStr">
        <is>
          <t>Docker PostgreSQL</t>
        </is>
      </c>
      <c r="E100" s="2" t="inlineStr">
        <is>
          <t>PH-02</t>
        </is>
      </c>
      <c r="F100" s="2" t="inlineStr">
        <is>
          <t>Solution Design &amp; Foundations</t>
        </is>
      </c>
      <c r="G100" s="2" t="inlineStr">
        <is>
          <t>CIN-T-037</t>
        </is>
      </c>
      <c r="H100" s="2" t="inlineStr">
        <is>
          <t>24120255</t>
        </is>
      </c>
      <c r="I100" s="2" t="inlineStr">
        <is>
          <t>Tran Thien An</t>
        </is>
      </c>
      <c r="J100" s="2" t="inlineStr">
        <is>
          <t>Sprint 2</t>
        </is>
      </c>
      <c r="K100" s="2" t="inlineStr">
        <is>
          <t>24120255</t>
        </is>
      </c>
      <c r="L100" s="2" t="inlineStr">
        <is>
          <t>Tran Thien An</t>
        </is>
      </c>
      <c r="M100" s="3" t="n">
        <v>46312</v>
      </c>
      <c r="N100" s="3" t="n">
        <v>46325</v>
      </c>
      <c r="O100" s="2" t="n">
        <v>3</v>
      </c>
      <c r="P100" s="2" t="inlineStr">
        <is>
          <t>ORIG-222</t>
        </is>
      </c>
      <c r="Q100" s="2" t="inlineStr">
        <is>
          <t>Medium</t>
        </is>
      </c>
      <c r="R100" s="2" t="inlineStr">
        <is>
          <t>Planned</t>
        </is>
      </c>
    </row>
    <row r="101">
      <c r="A101" s="2" t="inlineStr">
        <is>
          <t>Sub-task</t>
        </is>
      </c>
      <c r="B101" s="2" t="inlineStr">
        <is>
          <t>CIN-SUB-223</t>
        </is>
      </c>
      <c r="C101" s="2" t="inlineStr">
        <is>
          <t>CIN-T-037</t>
        </is>
      </c>
      <c r="D101" s="2" t="inlineStr">
        <is>
          <t>Docker Backend</t>
        </is>
      </c>
      <c r="E101" s="2" t="inlineStr">
        <is>
          <t>PH-02</t>
        </is>
      </c>
      <c r="F101" s="2" t="inlineStr">
        <is>
          <t>Solution Design &amp; Foundations</t>
        </is>
      </c>
      <c r="G101" s="2" t="inlineStr">
        <is>
          <t>CIN-T-037</t>
        </is>
      </c>
      <c r="H101" s="2" t="inlineStr">
        <is>
          <t>24120255</t>
        </is>
      </c>
      <c r="I101" s="2" t="inlineStr">
        <is>
          <t>Tran Thien An</t>
        </is>
      </c>
      <c r="J101" s="2" t="inlineStr">
        <is>
          <t>Sprint 2</t>
        </is>
      </c>
      <c r="K101" s="2" t="inlineStr">
        <is>
          <t>24120271</t>
        </is>
      </c>
      <c r="L101" s="2" t="inlineStr">
        <is>
          <t>Nguyen Trung Chinh</t>
        </is>
      </c>
      <c r="M101" s="3" t="n">
        <v>46312</v>
      </c>
      <c r="N101" s="3" t="n">
        <v>46325</v>
      </c>
      <c r="O101" s="2" t="n">
        <v>2</v>
      </c>
      <c r="P101" s="2" t="inlineStr">
        <is>
          <t>ORIG-223</t>
        </is>
      </c>
      <c r="Q101" s="2" t="inlineStr">
        <is>
          <t>Medium</t>
        </is>
      </c>
      <c r="R101" s="2" t="inlineStr">
        <is>
          <t>Planned</t>
        </is>
      </c>
    </row>
    <row r="102">
      <c r="A102" s="2" t="inlineStr">
        <is>
          <t>Sub-task</t>
        </is>
      </c>
      <c r="B102" s="2" t="inlineStr">
        <is>
          <t>CIN-SUB-224</t>
        </is>
      </c>
      <c r="C102" s="2" t="inlineStr">
        <is>
          <t>CIN-T-037</t>
        </is>
      </c>
      <c r="D102" s="2" t="inlineStr">
        <is>
          <t>Docker Frontend</t>
        </is>
      </c>
      <c r="E102" s="2" t="inlineStr">
        <is>
          <t>PH-02</t>
        </is>
      </c>
      <c r="F102" s="2" t="inlineStr">
        <is>
          <t>Solution Design &amp; Foundations</t>
        </is>
      </c>
      <c r="G102" s="2" t="inlineStr">
        <is>
          <t>CIN-T-037</t>
        </is>
      </c>
      <c r="H102" s="2" t="inlineStr">
        <is>
          <t>24120255</t>
        </is>
      </c>
      <c r="I102" s="2" t="inlineStr">
        <is>
          <t>Tran Thien An</t>
        </is>
      </c>
      <c r="J102" s="2" t="inlineStr">
        <is>
          <t>Sprint 2</t>
        </is>
      </c>
      <c r="K102" s="2" t="inlineStr">
        <is>
          <t>24120244</t>
        </is>
      </c>
      <c r="L102" s="2" t="inlineStr">
        <is>
          <t>Phan Van Viet</t>
        </is>
      </c>
      <c r="M102" s="3" t="n">
        <v>46312</v>
      </c>
      <c r="N102" s="3" t="n">
        <v>46325</v>
      </c>
      <c r="O102" s="2" t="n">
        <v>2</v>
      </c>
      <c r="P102" s="2" t="inlineStr">
        <is>
          <t>ORIG-224</t>
        </is>
      </c>
      <c r="Q102" s="2" t="inlineStr">
        <is>
          <t>Medium</t>
        </is>
      </c>
      <c r="R102" s="2" t="inlineStr">
        <is>
          <t>Planned</t>
        </is>
      </c>
    </row>
    <row r="103">
      <c r="A103" s="2" t="inlineStr">
        <is>
          <t>Sub-task</t>
        </is>
      </c>
      <c r="B103" s="2" t="inlineStr">
        <is>
          <t>CIN-SUB-225</t>
        </is>
      </c>
      <c r="C103" s="2" t="inlineStr">
        <is>
          <t>CIN-T-037</t>
        </is>
      </c>
      <c r="D103" s="2" t="inlineStr">
        <is>
          <t>Docker Compose</t>
        </is>
      </c>
      <c r="E103" s="2" t="inlineStr">
        <is>
          <t>PH-02</t>
        </is>
      </c>
      <c r="F103" s="2" t="inlineStr">
        <is>
          <t>Solution Design &amp; Foundations</t>
        </is>
      </c>
      <c r="G103" s="2" t="inlineStr">
        <is>
          <t>CIN-T-037</t>
        </is>
      </c>
      <c r="H103" s="2" t="inlineStr">
        <is>
          <t>24120255</t>
        </is>
      </c>
      <c r="I103" s="2" t="inlineStr">
        <is>
          <t>Tran Thien An</t>
        </is>
      </c>
      <c r="J103" s="2" t="inlineStr">
        <is>
          <t>Sprint 2</t>
        </is>
      </c>
      <c r="K103" s="2" t="inlineStr">
        <is>
          <t>24120098</t>
        </is>
      </c>
      <c r="L103" s="2" t="inlineStr">
        <is>
          <t>Nguyen Quoc Nam</t>
        </is>
      </c>
      <c r="M103" s="3" t="n">
        <v>46312</v>
      </c>
      <c r="N103" s="3" t="n">
        <v>46325</v>
      </c>
      <c r="O103" s="2" t="n">
        <v>3</v>
      </c>
      <c r="P103" s="2" t="inlineStr">
        <is>
          <t>ORIG-225</t>
        </is>
      </c>
      <c r="Q103" s="2" t="inlineStr">
        <is>
          <t>Medium</t>
        </is>
      </c>
      <c r="R103" s="2" t="inlineStr">
        <is>
          <t>Planned</t>
        </is>
      </c>
    </row>
    <row r="104">
      <c r="A104" s="2" t="inlineStr">
        <is>
          <t>Sub-task</t>
        </is>
      </c>
      <c r="B104" s="2" t="inlineStr">
        <is>
          <t>CIN-SUB-226</t>
        </is>
      </c>
      <c r="C104" s="2" t="inlineStr">
        <is>
          <t>CIN-T-037</t>
        </is>
      </c>
      <c r="D104" s="2" t="inlineStr">
        <is>
          <t>Environment Variables</t>
        </is>
      </c>
      <c r="E104" s="2" t="inlineStr">
        <is>
          <t>PH-02</t>
        </is>
      </c>
      <c r="F104" s="2" t="inlineStr">
        <is>
          <t>Solution Design &amp; Foundations</t>
        </is>
      </c>
      <c r="G104" s="2" t="inlineStr">
        <is>
          <t>CIN-T-037</t>
        </is>
      </c>
      <c r="H104" s="2" t="inlineStr">
        <is>
          <t>24120255</t>
        </is>
      </c>
      <c r="I104" s="2" t="inlineStr">
        <is>
          <t>Tran Thien An</t>
        </is>
      </c>
      <c r="J104" s="2" t="inlineStr">
        <is>
          <t>Sprint 2</t>
        </is>
      </c>
      <c r="K104" s="2" t="inlineStr">
        <is>
          <t>24120235</t>
        </is>
      </c>
      <c r="L104" s="2" t="inlineStr">
        <is>
          <t>Huynh Thanh Tu</t>
        </is>
      </c>
      <c r="M104" s="3" t="n">
        <v>46312</v>
      </c>
      <c r="N104" s="3" t="n">
        <v>46325</v>
      </c>
      <c r="O104" s="2" t="n">
        <v>1</v>
      </c>
      <c r="P104" s="2" t="inlineStr">
        <is>
          <t>ORIG-226</t>
        </is>
      </c>
      <c r="Q104" s="2" t="inlineStr">
        <is>
          <t>Medium</t>
        </is>
      </c>
      <c r="R104" s="2" t="inlineStr">
        <is>
          <t>Planned</t>
        </is>
      </c>
    </row>
    <row r="105">
      <c r="A105" s="2" t="inlineStr">
        <is>
          <t>Sub-task</t>
        </is>
      </c>
      <c r="B105" s="2" t="inlineStr">
        <is>
          <t>CIN-SUB-227</t>
        </is>
      </c>
      <c r="C105" s="2" t="inlineStr">
        <is>
          <t>CIN-T-037</t>
        </is>
      </c>
      <c r="D105" s="2" t="inlineStr">
        <is>
          <t>Local Development Setup</t>
        </is>
      </c>
      <c r="E105" s="2" t="inlineStr">
        <is>
          <t>PH-02</t>
        </is>
      </c>
      <c r="F105" s="2" t="inlineStr">
        <is>
          <t>Solution Design &amp; Foundations</t>
        </is>
      </c>
      <c r="G105" s="2" t="inlineStr">
        <is>
          <t>CIN-T-037</t>
        </is>
      </c>
      <c r="H105" s="2" t="inlineStr">
        <is>
          <t>24120255</t>
        </is>
      </c>
      <c r="I105" s="2" t="inlineStr">
        <is>
          <t>Tran Thien An</t>
        </is>
      </c>
      <c r="J105" s="2" t="inlineStr">
        <is>
          <t>Sprint 2</t>
        </is>
      </c>
      <c r="K105" s="2" t="inlineStr">
        <is>
          <t>24120255</t>
        </is>
      </c>
      <c r="L105" s="2" t="inlineStr">
        <is>
          <t>Tran Thien An</t>
        </is>
      </c>
      <c r="M105" s="3" t="n">
        <v>46312</v>
      </c>
      <c r="N105" s="3" t="n">
        <v>46325</v>
      </c>
      <c r="O105" s="2" t="n">
        <v>2</v>
      </c>
      <c r="P105" s="2" t="inlineStr">
        <is>
          <t>ORIG-227</t>
        </is>
      </c>
      <c r="Q105" s="2" t="inlineStr">
        <is>
          <t>Medium</t>
        </is>
      </c>
      <c r="R105" s="2" t="inlineStr">
        <is>
          <t>Planned</t>
        </is>
      </c>
    </row>
    <row r="106">
      <c r="A106" s="6" t="inlineStr">
        <is>
          <t>Task</t>
        </is>
      </c>
      <c r="B106" s="6" t="inlineStr">
        <is>
          <t>CIN-T-042</t>
        </is>
      </c>
      <c r="C106" s="6" t="inlineStr">
        <is>
          <t>PH-02</t>
        </is>
      </c>
      <c r="D106" s="6" t="inlineStr">
        <is>
          <t>Tạo README và tài liệu kiến trúc/database ban đầu</t>
        </is>
      </c>
      <c r="E106" s="6" t="inlineStr">
        <is>
          <t>PH-02</t>
        </is>
      </c>
      <c r="F106" s="6" t="inlineStr">
        <is>
          <t>Solution Design &amp; Foundations</t>
        </is>
      </c>
      <c r="G106" s="6" t="inlineStr">
        <is>
          <t>CIN-T-042</t>
        </is>
      </c>
      <c r="H106" s="6" t="inlineStr">
        <is>
          <t>24120271</t>
        </is>
      </c>
      <c r="I106" s="6" t="inlineStr">
        <is>
          <t>Nguyen Trung Chinh</t>
        </is>
      </c>
      <c r="J106" s="6" t="inlineStr">
        <is>
          <t>Sprint 2</t>
        </is>
      </c>
      <c r="K106" s="6" t="inlineStr"/>
      <c r="L106" s="6" t="inlineStr"/>
      <c r="M106" s="7" t="n">
        <v>46312</v>
      </c>
      <c r="N106" s="7" t="n">
        <v>46325</v>
      </c>
      <c r="O106" s="6">
        <f>SUMIFS('Master Subtasks'!$V$2:$V$293,'Master Subtasks'!$L$2:$L$293,$B106)</f>
        <v/>
      </c>
      <c r="P106" s="6" t="inlineStr"/>
      <c r="Q106" s="6" t="inlineStr">
        <is>
          <t>Medium</t>
        </is>
      </c>
      <c r="R106" s="6" t="inlineStr">
        <is>
          <t>Planned</t>
        </is>
      </c>
    </row>
    <row r="107">
      <c r="A107" s="2" t="inlineStr">
        <is>
          <t>Sub-task</t>
        </is>
      </c>
      <c r="B107" s="2" t="inlineStr">
        <is>
          <t>CIN-SUB-257</t>
        </is>
      </c>
      <c r="C107" s="2" t="inlineStr">
        <is>
          <t>CIN-T-042</t>
        </is>
      </c>
      <c r="D107" s="2" t="inlineStr">
        <is>
          <t>README</t>
        </is>
      </c>
      <c r="E107" s="2" t="inlineStr">
        <is>
          <t>PH-02</t>
        </is>
      </c>
      <c r="F107" s="2" t="inlineStr">
        <is>
          <t>Solution Design &amp; Foundations</t>
        </is>
      </c>
      <c r="G107" s="2" t="inlineStr">
        <is>
          <t>CIN-T-042</t>
        </is>
      </c>
      <c r="H107" s="2" t="inlineStr">
        <is>
          <t>24120271</t>
        </is>
      </c>
      <c r="I107" s="2" t="inlineStr">
        <is>
          <t>Nguyen Trung Chinh</t>
        </is>
      </c>
      <c r="J107" s="2" t="inlineStr">
        <is>
          <t>Sprint 2</t>
        </is>
      </c>
      <c r="K107" s="2" t="inlineStr">
        <is>
          <t>24120271</t>
        </is>
      </c>
      <c r="L107" s="2" t="inlineStr">
        <is>
          <t>Nguyen Trung Chinh</t>
        </is>
      </c>
      <c r="M107" s="3" t="n">
        <v>46312</v>
      </c>
      <c r="N107" s="3" t="n">
        <v>46325</v>
      </c>
      <c r="O107" s="2" t="n">
        <v>1</v>
      </c>
      <c r="P107" s="2" t="inlineStr">
        <is>
          <t>ORIG-257</t>
        </is>
      </c>
      <c r="Q107" s="2" t="inlineStr">
        <is>
          <t>Medium</t>
        </is>
      </c>
      <c r="R107" s="2" t="inlineStr">
        <is>
          <t>Planned</t>
        </is>
      </c>
    </row>
    <row r="108">
      <c r="A108" s="2" t="inlineStr">
        <is>
          <t>Sub-task</t>
        </is>
      </c>
      <c r="B108" s="2" t="inlineStr">
        <is>
          <t>CIN-SUB-258</t>
        </is>
      </c>
      <c r="C108" s="2" t="inlineStr">
        <is>
          <t>CIN-T-042</t>
        </is>
      </c>
      <c r="D108" s="2" t="inlineStr">
        <is>
          <t>Architecture Documentation</t>
        </is>
      </c>
      <c r="E108" s="2" t="inlineStr">
        <is>
          <t>PH-02</t>
        </is>
      </c>
      <c r="F108" s="2" t="inlineStr">
        <is>
          <t>Solution Design &amp; Foundations</t>
        </is>
      </c>
      <c r="G108" s="2" t="inlineStr">
        <is>
          <t>CIN-T-042</t>
        </is>
      </c>
      <c r="H108" s="2" t="inlineStr">
        <is>
          <t>24120271</t>
        </is>
      </c>
      <c r="I108" s="2" t="inlineStr">
        <is>
          <t>Nguyen Trung Chinh</t>
        </is>
      </c>
      <c r="J108" s="2" t="inlineStr">
        <is>
          <t>Sprint 2</t>
        </is>
      </c>
      <c r="K108" s="2" t="inlineStr">
        <is>
          <t>24120244</t>
        </is>
      </c>
      <c r="L108" s="2" t="inlineStr">
        <is>
          <t>Phan Van Viet</t>
        </is>
      </c>
      <c r="M108" s="3" t="n">
        <v>46312</v>
      </c>
      <c r="N108" s="3" t="n">
        <v>46325</v>
      </c>
      <c r="O108" s="2" t="n">
        <v>2</v>
      </c>
      <c r="P108" s="2" t="inlineStr">
        <is>
          <t>ORIG-258</t>
        </is>
      </c>
      <c r="Q108" s="2" t="inlineStr">
        <is>
          <t>Medium</t>
        </is>
      </c>
      <c r="R108" s="2" t="inlineStr">
        <is>
          <t>Planned</t>
        </is>
      </c>
    </row>
    <row r="109">
      <c r="A109" s="2" t="inlineStr">
        <is>
          <t>Sub-task</t>
        </is>
      </c>
      <c r="B109" s="2" t="inlineStr">
        <is>
          <t>CIN-SUB-259</t>
        </is>
      </c>
      <c r="C109" s="2" t="inlineStr">
        <is>
          <t>CIN-T-042</t>
        </is>
      </c>
      <c r="D109" s="2" t="inlineStr">
        <is>
          <t>Database Documentation</t>
        </is>
      </c>
      <c r="E109" s="2" t="inlineStr">
        <is>
          <t>PH-02</t>
        </is>
      </c>
      <c r="F109" s="2" t="inlineStr">
        <is>
          <t>Solution Design &amp; Foundations</t>
        </is>
      </c>
      <c r="G109" s="2" t="inlineStr">
        <is>
          <t>CIN-T-042</t>
        </is>
      </c>
      <c r="H109" s="2" t="inlineStr">
        <is>
          <t>24120271</t>
        </is>
      </c>
      <c r="I109" s="2" t="inlineStr">
        <is>
          <t>Nguyen Trung Chinh</t>
        </is>
      </c>
      <c r="J109" s="2" t="inlineStr">
        <is>
          <t>Sprint 2</t>
        </is>
      </c>
      <c r="K109" s="2" t="inlineStr">
        <is>
          <t>24120271</t>
        </is>
      </c>
      <c r="L109" s="2" t="inlineStr">
        <is>
          <t>Nguyen Trung Chinh</t>
        </is>
      </c>
      <c r="M109" s="3" t="n">
        <v>46312</v>
      </c>
      <c r="N109" s="3" t="n">
        <v>46325</v>
      </c>
      <c r="O109" s="2" t="n">
        <v>3</v>
      </c>
      <c r="P109" s="2" t="inlineStr">
        <is>
          <t>ORIG-259</t>
        </is>
      </c>
      <c r="Q109" s="2" t="inlineStr">
        <is>
          <t>Medium</t>
        </is>
      </c>
      <c r="R109" s="2" t="inlineStr">
        <is>
          <t>Planned</t>
        </is>
      </c>
    </row>
    <row r="110">
      <c r="A110" s="6" t="inlineStr">
        <is>
          <t>Task</t>
        </is>
      </c>
      <c r="B110" s="6" t="inlineStr">
        <is>
          <t>CIN-T-048</t>
        </is>
      </c>
      <c r="C110" s="6" t="inlineStr">
        <is>
          <t>PH-02</t>
        </is>
      </c>
      <c r="D110" s="6" t="inlineStr">
        <is>
          <t>Soạn phần thiết kế hệ thống và database</t>
        </is>
      </c>
      <c r="E110" s="6" t="inlineStr">
        <is>
          <t>PH-02</t>
        </is>
      </c>
      <c r="F110" s="6" t="inlineStr">
        <is>
          <t>Solution Design &amp; Foundations</t>
        </is>
      </c>
      <c r="G110" s="6" t="inlineStr">
        <is>
          <t>CIN-T-048</t>
        </is>
      </c>
      <c r="H110" s="6" t="inlineStr">
        <is>
          <t>24120244</t>
        </is>
      </c>
      <c r="I110" s="6" t="inlineStr">
        <is>
          <t>Phan Van Viet</t>
        </is>
      </c>
      <c r="J110" s="6" t="inlineStr">
        <is>
          <t>Sprint 2</t>
        </is>
      </c>
      <c r="K110" s="6" t="inlineStr"/>
      <c r="L110" s="6" t="inlineStr"/>
      <c r="M110" s="7" t="n">
        <v>46312</v>
      </c>
      <c r="N110" s="7" t="n">
        <v>46325</v>
      </c>
      <c r="O110" s="6">
        <f>SUMIFS('Master Subtasks'!$V$2:$V$293,'Master Subtasks'!$L$2:$L$293,$B110)</f>
        <v/>
      </c>
      <c r="P110" s="6" t="inlineStr"/>
      <c r="Q110" s="6" t="inlineStr">
        <is>
          <t>Medium</t>
        </is>
      </c>
      <c r="R110" s="6" t="inlineStr">
        <is>
          <t>Planned</t>
        </is>
      </c>
    </row>
    <row r="111">
      <c r="A111" s="2" t="inlineStr">
        <is>
          <t>Sub-task</t>
        </is>
      </c>
      <c r="B111" s="2" t="inlineStr">
        <is>
          <t>CIN-SUB-281</t>
        </is>
      </c>
      <c r="C111" s="2" t="inlineStr">
        <is>
          <t>CIN-T-048</t>
        </is>
      </c>
      <c r="D111" s="2" t="inlineStr">
        <is>
          <t>Thiết kế hệ thống</t>
        </is>
      </c>
      <c r="E111" s="2" t="inlineStr">
        <is>
          <t>PH-02</t>
        </is>
      </c>
      <c r="F111" s="2" t="inlineStr">
        <is>
          <t>Solution Design &amp; Foundations</t>
        </is>
      </c>
      <c r="G111" s="2" t="inlineStr">
        <is>
          <t>CIN-T-048</t>
        </is>
      </c>
      <c r="H111" s="2" t="inlineStr">
        <is>
          <t>24120244</t>
        </is>
      </c>
      <c r="I111" s="2" t="inlineStr">
        <is>
          <t>Phan Van Viet</t>
        </is>
      </c>
      <c r="J111" s="2" t="inlineStr">
        <is>
          <t>Sprint 2</t>
        </is>
      </c>
      <c r="K111" s="2" t="inlineStr">
        <is>
          <t>24120235</t>
        </is>
      </c>
      <c r="L111" s="2" t="inlineStr">
        <is>
          <t>Huynh Thanh Tu</t>
        </is>
      </c>
      <c r="M111" s="3" t="n">
        <v>46312</v>
      </c>
      <c r="N111" s="3" t="n">
        <v>46325</v>
      </c>
      <c r="O111" s="2" t="n">
        <v>2</v>
      </c>
      <c r="P111" s="2" t="inlineStr">
        <is>
          <t>ORIG-281</t>
        </is>
      </c>
      <c r="Q111" s="2" t="inlineStr">
        <is>
          <t>Medium</t>
        </is>
      </c>
      <c r="R111" s="2" t="inlineStr">
        <is>
          <t>Planned</t>
        </is>
      </c>
    </row>
    <row r="112">
      <c r="A112" s="2" t="inlineStr">
        <is>
          <t>Sub-task</t>
        </is>
      </c>
      <c r="B112" s="2" t="inlineStr">
        <is>
          <t>CIN-SUB-282</t>
        </is>
      </c>
      <c r="C112" s="2" t="inlineStr">
        <is>
          <t>CIN-T-048</t>
        </is>
      </c>
      <c r="D112" s="2" t="inlineStr">
        <is>
          <t>Thiết kế Database</t>
        </is>
      </c>
      <c r="E112" s="2" t="inlineStr">
        <is>
          <t>PH-02</t>
        </is>
      </c>
      <c r="F112" s="2" t="inlineStr">
        <is>
          <t>Solution Design &amp; Foundations</t>
        </is>
      </c>
      <c r="G112" s="2" t="inlineStr">
        <is>
          <t>CIN-T-048</t>
        </is>
      </c>
      <c r="H112" s="2" t="inlineStr">
        <is>
          <t>24120244</t>
        </is>
      </c>
      <c r="I112" s="2" t="inlineStr">
        <is>
          <t>Phan Van Viet</t>
        </is>
      </c>
      <c r="J112" s="2" t="inlineStr">
        <is>
          <t>Sprint 2</t>
        </is>
      </c>
      <c r="K112" s="2" t="inlineStr">
        <is>
          <t>24120244</t>
        </is>
      </c>
      <c r="L112" s="2" t="inlineStr">
        <is>
          <t>Phan Van Viet</t>
        </is>
      </c>
      <c r="M112" s="3" t="n">
        <v>46312</v>
      </c>
      <c r="N112" s="3" t="n">
        <v>46325</v>
      </c>
      <c r="O112" s="2" t="n">
        <v>3</v>
      </c>
      <c r="P112" s="2" t="inlineStr">
        <is>
          <t>ORIG-282</t>
        </is>
      </c>
      <c r="Q112" s="2" t="inlineStr">
        <is>
          <t>Medium</t>
        </is>
      </c>
      <c r="R112" s="2" t="inlineStr">
        <is>
          <t>Planned</t>
        </is>
      </c>
    </row>
    <row r="113">
      <c r="A113" s="4" t="inlineStr">
        <is>
          <t>Phase</t>
        </is>
      </c>
      <c r="B113" s="4" t="inlineStr">
        <is>
          <t>PH-03</t>
        </is>
      </c>
      <c r="C113" s="4" t="inlineStr"/>
      <c r="D113" s="4" t="inlineStr">
        <is>
          <t>Core Product Build</t>
        </is>
      </c>
      <c r="E113" s="4" t="inlineStr">
        <is>
          <t>PH-03</t>
        </is>
      </c>
      <c r="F113" s="4" t="inlineStr">
        <is>
          <t>Core Product Build</t>
        </is>
      </c>
      <c r="G113" s="4" t="inlineStr"/>
      <c r="H113" s="4" t="inlineStr"/>
      <c r="I113" s="4" t="inlineStr"/>
      <c r="J113" s="4" t="inlineStr">
        <is>
          <t>Sprint 3, Sprint 4</t>
        </is>
      </c>
      <c r="K113" s="4" t="inlineStr"/>
      <c r="L113" s="4" t="inlineStr"/>
      <c r="M113" s="5" t="n">
        <v>46326</v>
      </c>
      <c r="N113" s="5" t="n">
        <v>46353</v>
      </c>
      <c r="O113" s="4">
        <f>SUMIFS('Master Subtasks'!$V$2:$V$293,'Master Subtasks'!$J$2:$J$293,$B113)</f>
        <v/>
      </c>
      <c r="P113" s="4" t="inlineStr"/>
      <c r="Q113" s="4" t="inlineStr"/>
      <c r="R113" s="4" t="inlineStr">
        <is>
          <t>Planned</t>
        </is>
      </c>
    </row>
    <row r="114">
      <c r="A114" s="6" t="inlineStr">
        <is>
          <t>Task</t>
        </is>
      </c>
      <c r="B114" s="6" t="inlineStr">
        <is>
          <t>CIN-T-013</t>
        </is>
      </c>
      <c r="C114" s="6" t="inlineStr">
        <is>
          <t>PH-03</t>
        </is>
      </c>
      <c r="D114" s="6" t="inlineStr">
        <is>
          <t>Xây persistence và khởi tạo database bằng EF Core</t>
        </is>
      </c>
      <c r="E114" s="6" t="inlineStr">
        <is>
          <t>PH-03</t>
        </is>
      </c>
      <c r="F114" s="6" t="inlineStr">
        <is>
          <t>Core Product Build</t>
        </is>
      </c>
      <c r="G114" s="6" t="inlineStr">
        <is>
          <t>CIN-T-013</t>
        </is>
      </c>
      <c r="H114" s="6" t="inlineStr">
        <is>
          <t>24120271</t>
        </is>
      </c>
      <c r="I114" s="6" t="inlineStr">
        <is>
          <t>Nguyen Trung Chinh</t>
        </is>
      </c>
      <c r="J114" s="6" t="inlineStr">
        <is>
          <t>Sprint 3</t>
        </is>
      </c>
      <c r="K114" s="6" t="inlineStr"/>
      <c r="L114" s="6" t="inlineStr"/>
      <c r="M114" s="7" t="n">
        <v>46326</v>
      </c>
      <c r="N114" s="7" t="n">
        <v>46339</v>
      </c>
      <c r="O114" s="6">
        <f>SUMIFS('Master Subtasks'!$V$2:$V$293,'Master Subtasks'!$L$2:$L$293,$B114)</f>
        <v/>
      </c>
      <c r="P114" s="6" t="inlineStr"/>
      <c r="Q114" s="6" t="inlineStr">
        <is>
          <t>High</t>
        </is>
      </c>
      <c r="R114" s="6" t="inlineStr">
        <is>
          <t>Planned</t>
        </is>
      </c>
    </row>
    <row r="115">
      <c r="A115" s="2" t="inlineStr">
        <is>
          <t>Sub-task</t>
        </is>
      </c>
      <c r="B115" s="2" t="inlineStr">
        <is>
          <t>CIN-SUB-078</t>
        </is>
      </c>
      <c r="C115" s="2" t="inlineStr">
        <is>
          <t>CIN-T-013</t>
        </is>
      </c>
      <c r="D115" s="2" t="inlineStr">
        <is>
          <t>Xây dựng Entity Models</t>
        </is>
      </c>
      <c r="E115" s="2" t="inlineStr">
        <is>
          <t>PH-03</t>
        </is>
      </c>
      <c r="F115" s="2" t="inlineStr">
        <is>
          <t>Core Product Build</t>
        </is>
      </c>
      <c r="G115" s="2" t="inlineStr">
        <is>
          <t>CIN-T-013</t>
        </is>
      </c>
      <c r="H115" s="2" t="inlineStr">
        <is>
          <t>24120271</t>
        </is>
      </c>
      <c r="I115" s="2" t="inlineStr">
        <is>
          <t>Nguyen Trung Chinh</t>
        </is>
      </c>
      <c r="J115" s="2" t="inlineStr">
        <is>
          <t>Sprint 3</t>
        </is>
      </c>
      <c r="K115" s="2" t="inlineStr">
        <is>
          <t>24120255</t>
        </is>
      </c>
      <c r="L115" s="2" t="inlineStr">
        <is>
          <t>Tran Thien An</t>
        </is>
      </c>
      <c r="M115" s="3" t="n">
        <v>46326</v>
      </c>
      <c r="N115" s="3" t="n">
        <v>46339</v>
      </c>
      <c r="O115" s="2" t="n">
        <v>2</v>
      </c>
      <c r="P115" s="2" t="inlineStr">
        <is>
          <t>ORIG-078</t>
        </is>
      </c>
      <c r="Q115" s="2" t="inlineStr">
        <is>
          <t>High</t>
        </is>
      </c>
      <c r="R115" s="2" t="inlineStr">
        <is>
          <t>Planned</t>
        </is>
      </c>
    </row>
    <row r="116">
      <c r="A116" s="2" t="inlineStr">
        <is>
          <t>Sub-task</t>
        </is>
      </c>
      <c r="B116" s="2" t="inlineStr">
        <is>
          <t>CIN-SUB-079</t>
        </is>
      </c>
      <c r="C116" s="2" t="inlineStr">
        <is>
          <t>CIN-T-013</t>
        </is>
      </c>
      <c r="D116" s="2" t="inlineStr">
        <is>
          <t>Xây dựng AppDbContext</t>
        </is>
      </c>
      <c r="E116" s="2" t="inlineStr">
        <is>
          <t>PH-03</t>
        </is>
      </c>
      <c r="F116" s="2" t="inlineStr">
        <is>
          <t>Core Product Build</t>
        </is>
      </c>
      <c r="G116" s="2" t="inlineStr">
        <is>
          <t>CIN-T-013</t>
        </is>
      </c>
      <c r="H116" s="2" t="inlineStr">
        <is>
          <t>24120271</t>
        </is>
      </c>
      <c r="I116" s="2" t="inlineStr">
        <is>
          <t>Nguyen Trung Chinh</t>
        </is>
      </c>
      <c r="J116" s="2" t="inlineStr">
        <is>
          <t>Sprint 3</t>
        </is>
      </c>
      <c r="K116" s="2" t="inlineStr">
        <is>
          <t>24120271</t>
        </is>
      </c>
      <c r="L116" s="2" t="inlineStr">
        <is>
          <t>Nguyen Trung Chinh</t>
        </is>
      </c>
      <c r="M116" s="3" t="n">
        <v>46326</v>
      </c>
      <c r="N116" s="3" t="n">
        <v>46339</v>
      </c>
      <c r="O116" s="2" t="n">
        <v>3</v>
      </c>
      <c r="P116" s="2" t="inlineStr">
        <is>
          <t>ORIG-079</t>
        </is>
      </c>
      <c r="Q116" s="2" t="inlineStr">
        <is>
          <t>High</t>
        </is>
      </c>
      <c r="R116" s="2" t="inlineStr">
        <is>
          <t>Planned</t>
        </is>
      </c>
    </row>
    <row r="117">
      <c r="A117" s="2" t="inlineStr">
        <is>
          <t>Sub-task</t>
        </is>
      </c>
      <c r="B117" s="2" t="inlineStr">
        <is>
          <t>CIN-SUB-080</t>
        </is>
      </c>
      <c r="C117" s="2" t="inlineStr">
        <is>
          <t>CIN-T-013</t>
        </is>
      </c>
      <c r="D117" s="2" t="inlineStr">
        <is>
          <t>Cấu hình Relationships</t>
        </is>
      </c>
      <c r="E117" s="2" t="inlineStr">
        <is>
          <t>PH-03</t>
        </is>
      </c>
      <c r="F117" s="2" t="inlineStr">
        <is>
          <t>Core Product Build</t>
        </is>
      </c>
      <c r="G117" s="2" t="inlineStr">
        <is>
          <t>CIN-T-013</t>
        </is>
      </c>
      <c r="H117" s="2" t="inlineStr">
        <is>
          <t>24120271</t>
        </is>
      </c>
      <c r="I117" s="2" t="inlineStr">
        <is>
          <t>Nguyen Trung Chinh</t>
        </is>
      </c>
      <c r="J117" s="2" t="inlineStr">
        <is>
          <t>Sprint 3</t>
        </is>
      </c>
      <c r="K117" s="2" t="inlineStr">
        <is>
          <t>24120244</t>
        </is>
      </c>
      <c r="L117" s="2" t="inlineStr">
        <is>
          <t>Phan Van Viet</t>
        </is>
      </c>
      <c r="M117" s="3" t="n">
        <v>46326</v>
      </c>
      <c r="N117" s="3" t="n">
        <v>46339</v>
      </c>
      <c r="O117" s="2" t="n">
        <v>3</v>
      </c>
      <c r="P117" s="2" t="inlineStr">
        <is>
          <t>ORIG-080</t>
        </is>
      </c>
      <c r="Q117" s="2" t="inlineStr">
        <is>
          <t>High</t>
        </is>
      </c>
      <c r="R117" s="2" t="inlineStr">
        <is>
          <t>Planned</t>
        </is>
      </c>
    </row>
    <row r="118">
      <c r="A118" s="2" t="inlineStr">
        <is>
          <t>Sub-task</t>
        </is>
      </c>
      <c r="B118" s="2" t="inlineStr">
        <is>
          <t>CIN-SUB-081</t>
        </is>
      </c>
      <c r="C118" s="2" t="inlineStr">
        <is>
          <t>CIN-T-013</t>
        </is>
      </c>
      <c r="D118" s="2" t="inlineStr">
        <is>
          <t>Cấu hình PostgreSQL</t>
        </is>
      </c>
      <c r="E118" s="2" t="inlineStr">
        <is>
          <t>PH-03</t>
        </is>
      </c>
      <c r="F118" s="2" t="inlineStr">
        <is>
          <t>Core Product Build</t>
        </is>
      </c>
      <c r="G118" s="2" t="inlineStr">
        <is>
          <t>CIN-T-013</t>
        </is>
      </c>
      <c r="H118" s="2" t="inlineStr">
        <is>
          <t>24120271</t>
        </is>
      </c>
      <c r="I118" s="2" t="inlineStr">
        <is>
          <t>Nguyen Trung Chinh</t>
        </is>
      </c>
      <c r="J118" s="2" t="inlineStr">
        <is>
          <t>Sprint 3</t>
        </is>
      </c>
      <c r="K118" s="2" t="inlineStr">
        <is>
          <t>24120098</t>
        </is>
      </c>
      <c r="L118" s="2" t="inlineStr">
        <is>
          <t>Nguyen Quoc Nam</t>
        </is>
      </c>
      <c r="M118" s="3" t="n">
        <v>46326</v>
      </c>
      <c r="N118" s="3" t="n">
        <v>46339</v>
      </c>
      <c r="O118" s="2" t="n">
        <v>2</v>
      </c>
      <c r="P118" s="2" t="inlineStr">
        <is>
          <t>ORIG-081</t>
        </is>
      </c>
      <c r="Q118" s="2" t="inlineStr">
        <is>
          <t>High</t>
        </is>
      </c>
      <c r="R118" s="2" t="inlineStr">
        <is>
          <t>Planned</t>
        </is>
      </c>
    </row>
    <row r="119">
      <c r="A119" s="2" t="inlineStr">
        <is>
          <t>Sub-task</t>
        </is>
      </c>
      <c r="B119" s="2" t="inlineStr">
        <is>
          <t>CIN-SUB-082</t>
        </is>
      </c>
      <c r="C119" s="2" t="inlineStr">
        <is>
          <t>CIN-T-013</t>
        </is>
      </c>
      <c r="D119" s="2" t="inlineStr">
        <is>
          <t>Migration</t>
        </is>
      </c>
      <c r="E119" s="2" t="inlineStr">
        <is>
          <t>PH-03</t>
        </is>
      </c>
      <c r="F119" s="2" t="inlineStr">
        <is>
          <t>Core Product Build</t>
        </is>
      </c>
      <c r="G119" s="2" t="inlineStr">
        <is>
          <t>CIN-T-013</t>
        </is>
      </c>
      <c r="H119" s="2" t="inlineStr">
        <is>
          <t>24120271</t>
        </is>
      </c>
      <c r="I119" s="2" t="inlineStr">
        <is>
          <t>Nguyen Trung Chinh</t>
        </is>
      </c>
      <c r="J119" s="2" t="inlineStr">
        <is>
          <t>Sprint 3</t>
        </is>
      </c>
      <c r="K119" s="2" t="inlineStr">
        <is>
          <t>24120235</t>
        </is>
      </c>
      <c r="L119" s="2" t="inlineStr">
        <is>
          <t>Huynh Thanh Tu</t>
        </is>
      </c>
      <c r="M119" s="3" t="n">
        <v>46326</v>
      </c>
      <c r="N119" s="3" t="n">
        <v>46339</v>
      </c>
      <c r="O119" s="2" t="n">
        <v>3</v>
      </c>
      <c r="P119" s="2" t="inlineStr">
        <is>
          <t>ORIG-082</t>
        </is>
      </c>
      <c r="Q119" s="2" t="inlineStr">
        <is>
          <t>High</t>
        </is>
      </c>
      <c r="R119" s="2" t="inlineStr">
        <is>
          <t>Planned</t>
        </is>
      </c>
    </row>
    <row r="120">
      <c r="A120" s="2" t="inlineStr">
        <is>
          <t>Sub-task</t>
        </is>
      </c>
      <c r="B120" s="2" t="inlineStr">
        <is>
          <t>CIN-SUB-083</t>
        </is>
      </c>
      <c r="C120" s="2" t="inlineStr">
        <is>
          <t>CIN-T-013</t>
        </is>
      </c>
      <c r="D120" s="2" t="inlineStr">
        <is>
          <t>Seed Data</t>
        </is>
      </c>
      <c r="E120" s="2" t="inlineStr">
        <is>
          <t>PH-03</t>
        </is>
      </c>
      <c r="F120" s="2" t="inlineStr">
        <is>
          <t>Core Product Build</t>
        </is>
      </c>
      <c r="G120" s="2" t="inlineStr">
        <is>
          <t>CIN-T-013</t>
        </is>
      </c>
      <c r="H120" s="2" t="inlineStr">
        <is>
          <t>24120271</t>
        </is>
      </c>
      <c r="I120" s="2" t="inlineStr">
        <is>
          <t>Nguyen Trung Chinh</t>
        </is>
      </c>
      <c r="J120" s="2" t="inlineStr">
        <is>
          <t>Sprint 3</t>
        </is>
      </c>
      <c r="K120" s="2" t="inlineStr">
        <is>
          <t>24120255</t>
        </is>
      </c>
      <c r="L120" s="2" t="inlineStr">
        <is>
          <t>Tran Thien An</t>
        </is>
      </c>
      <c r="M120" s="3" t="n">
        <v>46326</v>
      </c>
      <c r="N120" s="3" t="n">
        <v>46339</v>
      </c>
      <c r="O120" s="2" t="n">
        <v>2</v>
      </c>
      <c r="P120" s="2" t="inlineStr">
        <is>
          <t>ORIG-083</t>
        </is>
      </c>
      <c r="Q120" s="2" t="inlineStr">
        <is>
          <t>High</t>
        </is>
      </c>
      <c r="R120" s="2" t="inlineStr">
        <is>
          <t>Planned</t>
        </is>
      </c>
    </row>
    <row r="121">
      <c r="A121" s="2" t="inlineStr">
        <is>
          <t>Sub-task</t>
        </is>
      </c>
      <c r="B121" s="2" t="inlineStr">
        <is>
          <t>CIN-SUB-084</t>
        </is>
      </c>
      <c r="C121" s="2" t="inlineStr">
        <is>
          <t>CIN-T-013</t>
        </is>
      </c>
      <c r="D121" s="2" t="inlineStr">
        <is>
          <t>Database Initialization</t>
        </is>
      </c>
      <c r="E121" s="2" t="inlineStr">
        <is>
          <t>PH-03</t>
        </is>
      </c>
      <c r="F121" s="2" t="inlineStr">
        <is>
          <t>Core Product Build</t>
        </is>
      </c>
      <c r="G121" s="2" t="inlineStr">
        <is>
          <t>CIN-T-013</t>
        </is>
      </c>
      <c r="H121" s="2" t="inlineStr">
        <is>
          <t>24120271</t>
        </is>
      </c>
      <c r="I121" s="2" t="inlineStr">
        <is>
          <t>Nguyen Trung Chinh</t>
        </is>
      </c>
      <c r="J121" s="2" t="inlineStr">
        <is>
          <t>Sprint 3</t>
        </is>
      </c>
      <c r="K121" s="2" t="inlineStr">
        <is>
          <t>24120098</t>
        </is>
      </c>
      <c r="L121" s="2" t="inlineStr">
        <is>
          <t>Nguyen Quoc Nam</t>
        </is>
      </c>
      <c r="M121" s="3" t="n">
        <v>46326</v>
      </c>
      <c r="N121" s="3" t="n">
        <v>46339</v>
      </c>
      <c r="O121" s="2" t="n">
        <v>3</v>
      </c>
      <c r="P121" s="2" t="inlineStr">
        <is>
          <t>ORIG-084</t>
        </is>
      </c>
      <c r="Q121" s="2" t="inlineStr">
        <is>
          <t>High</t>
        </is>
      </c>
      <c r="R121" s="2" t="inlineStr">
        <is>
          <t>Planned</t>
        </is>
      </c>
    </row>
    <row r="122">
      <c r="A122" s="2" t="inlineStr">
        <is>
          <t>Sub-task</t>
        </is>
      </c>
      <c r="B122" s="2" t="inlineStr">
        <is>
          <t>CIN-SUB-085</t>
        </is>
      </c>
      <c r="C122" s="2" t="inlineStr">
        <is>
          <t>CIN-T-013</t>
        </is>
      </c>
      <c r="D122" s="2" t="inlineStr">
        <is>
          <t>Transaction</t>
        </is>
      </c>
      <c r="E122" s="2" t="inlineStr">
        <is>
          <t>PH-03</t>
        </is>
      </c>
      <c r="F122" s="2" t="inlineStr">
        <is>
          <t>Core Product Build</t>
        </is>
      </c>
      <c r="G122" s="2" t="inlineStr">
        <is>
          <t>CIN-T-013</t>
        </is>
      </c>
      <c r="H122" s="2" t="inlineStr">
        <is>
          <t>24120271</t>
        </is>
      </c>
      <c r="I122" s="2" t="inlineStr">
        <is>
          <t>Nguyen Trung Chinh</t>
        </is>
      </c>
      <c r="J122" s="2" t="inlineStr">
        <is>
          <t>Sprint 3</t>
        </is>
      </c>
      <c r="K122" s="2" t="inlineStr">
        <is>
          <t>24120271</t>
        </is>
      </c>
      <c r="L122" s="2" t="inlineStr">
        <is>
          <t>Nguyen Trung Chinh</t>
        </is>
      </c>
      <c r="M122" s="3" t="n">
        <v>46326</v>
      </c>
      <c r="N122" s="3" t="n">
        <v>46339</v>
      </c>
      <c r="O122" s="2" t="n">
        <v>3</v>
      </c>
      <c r="P122" s="2" t="inlineStr">
        <is>
          <t>ORIG-085</t>
        </is>
      </c>
      <c r="Q122" s="2" t="inlineStr">
        <is>
          <t>High</t>
        </is>
      </c>
      <c r="R122" s="2" t="inlineStr">
        <is>
          <t>Planned</t>
        </is>
      </c>
    </row>
    <row r="123">
      <c r="A123" s="6" t="inlineStr">
        <is>
          <t>Task</t>
        </is>
      </c>
      <c r="B123" s="6" t="inlineStr">
        <is>
          <t>CIN-T-015</t>
        </is>
      </c>
      <c r="C123" s="6" t="inlineStr">
        <is>
          <t>PH-03</t>
        </is>
      </c>
      <c r="D123" s="6" t="inlineStr">
        <is>
          <t>Triển khai API phim, rạp, ghế, vé và lịch chiếu</t>
        </is>
      </c>
      <c r="E123" s="6" t="inlineStr">
        <is>
          <t>PH-03</t>
        </is>
      </c>
      <c r="F123" s="6" t="inlineStr">
        <is>
          <t>Core Product Build</t>
        </is>
      </c>
      <c r="G123" s="6" t="inlineStr">
        <is>
          <t>CIN-T-015</t>
        </is>
      </c>
      <c r="H123" s="6" t="inlineStr">
        <is>
          <t>24120255</t>
        </is>
      </c>
      <c r="I123" s="6" t="inlineStr">
        <is>
          <t>Tran Thien An</t>
        </is>
      </c>
      <c r="J123" s="6" t="inlineStr">
        <is>
          <t>Sprint 3</t>
        </is>
      </c>
      <c r="K123" s="6" t="inlineStr"/>
      <c r="L123" s="6" t="inlineStr"/>
      <c r="M123" s="7" t="n">
        <v>46326</v>
      </c>
      <c r="N123" s="7" t="n">
        <v>46339</v>
      </c>
      <c r="O123" s="6">
        <f>SUMIFS('Master Subtasks'!$V$2:$V$293,'Master Subtasks'!$L$2:$L$293,$B123)</f>
        <v/>
      </c>
      <c r="P123" s="6" t="inlineStr"/>
      <c r="Q123" s="6" t="inlineStr">
        <is>
          <t>High</t>
        </is>
      </c>
      <c r="R123" s="6" t="inlineStr">
        <is>
          <t>Planned</t>
        </is>
      </c>
    </row>
    <row r="124">
      <c r="A124" s="2" t="inlineStr">
        <is>
          <t>Sub-task</t>
        </is>
      </c>
      <c r="B124" s="2" t="inlineStr">
        <is>
          <t>CIN-SUB-088</t>
        </is>
      </c>
      <c r="C124" s="2" t="inlineStr">
        <is>
          <t>CIN-T-015</t>
        </is>
      </c>
      <c r="D124" s="2" t="inlineStr">
        <is>
          <t>API Movie / Genre</t>
        </is>
      </c>
      <c r="E124" s="2" t="inlineStr">
        <is>
          <t>PH-03</t>
        </is>
      </c>
      <c r="F124" s="2" t="inlineStr">
        <is>
          <t>Core Product Build</t>
        </is>
      </c>
      <c r="G124" s="2" t="inlineStr">
        <is>
          <t>CIN-T-015</t>
        </is>
      </c>
      <c r="H124" s="2" t="inlineStr">
        <is>
          <t>24120255</t>
        </is>
      </c>
      <c r="I124" s="2" t="inlineStr">
        <is>
          <t>Tran Thien An</t>
        </is>
      </c>
      <c r="J124" s="2" t="inlineStr">
        <is>
          <t>Sprint 3</t>
        </is>
      </c>
      <c r="K124" s="2" t="inlineStr">
        <is>
          <t>24120255</t>
        </is>
      </c>
      <c r="L124" s="2" t="inlineStr">
        <is>
          <t>Tran Thien An</t>
        </is>
      </c>
      <c r="M124" s="3" t="n">
        <v>46326</v>
      </c>
      <c r="N124" s="3" t="n">
        <v>46339</v>
      </c>
      <c r="O124" s="2" t="n">
        <v>3</v>
      </c>
      <c r="P124" s="2" t="inlineStr">
        <is>
          <t>ORIG-088</t>
        </is>
      </c>
      <c r="Q124" s="2" t="inlineStr">
        <is>
          <t>High</t>
        </is>
      </c>
      <c r="R124" s="2" t="inlineStr">
        <is>
          <t>Planned</t>
        </is>
      </c>
    </row>
    <row r="125">
      <c r="A125" s="2" t="inlineStr">
        <is>
          <t>Sub-task</t>
        </is>
      </c>
      <c r="B125" s="2" t="inlineStr">
        <is>
          <t>CIN-SUB-089</t>
        </is>
      </c>
      <c r="C125" s="2" t="inlineStr">
        <is>
          <t>CIN-T-015</t>
        </is>
      </c>
      <c r="D125" s="2" t="inlineStr">
        <is>
          <t>API Cinema Room</t>
        </is>
      </c>
      <c r="E125" s="2" t="inlineStr">
        <is>
          <t>PH-03</t>
        </is>
      </c>
      <c r="F125" s="2" t="inlineStr">
        <is>
          <t>Core Product Build</t>
        </is>
      </c>
      <c r="G125" s="2" t="inlineStr">
        <is>
          <t>CIN-T-015</t>
        </is>
      </c>
      <c r="H125" s="2" t="inlineStr">
        <is>
          <t>24120255</t>
        </is>
      </c>
      <c r="I125" s="2" t="inlineStr">
        <is>
          <t>Tran Thien An</t>
        </is>
      </c>
      <c r="J125" s="2" t="inlineStr">
        <is>
          <t>Sprint 3</t>
        </is>
      </c>
      <c r="K125" s="2" t="inlineStr">
        <is>
          <t>24120098</t>
        </is>
      </c>
      <c r="L125" s="2" t="inlineStr">
        <is>
          <t>Nguyen Quoc Nam</t>
        </is>
      </c>
      <c r="M125" s="3" t="n">
        <v>46326</v>
      </c>
      <c r="N125" s="3" t="n">
        <v>46339</v>
      </c>
      <c r="O125" s="2" t="n">
        <v>3</v>
      </c>
      <c r="P125" s="2" t="inlineStr">
        <is>
          <t>ORIG-089</t>
        </is>
      </c>
      <c r="Q125" s="2" t="inlineStr">
        <is>
          <t>High</t>
        </is>
      </c>
      <c r="R125" s="2" t="inlineStr">
        <is>
          <t>Planned</t>
        </is>
      </c>
    </row>
    <row r="126">
      <c r="A126" s="2" t="inlineStr">
        <is>
          <t>Sub-task</t>
        </is>
      </c>
      <c r="B126" s="2" t="inlineStr">
        <is>
          <t>CIN-SUB-090</t>
        </is>
      </c>
      <c r="C126" s="2" t="inlineStr">
        <is>
          <t>CIN-T-015</t>
        </is>
      </c>
      <c r="D126" s="2" t="inlineStr">
        <is>
          <t>API Seat / Seat Type</t>
        </is>
      </c>
      <c r="E126" s="2" t="inlineStr">
        <is>
          <t>PH-03</t>
        </is>
      </c>
      <c r="F126" s="2" t="inlineStr">
        <is>
          <t>Core Product Build</t>
        </is>
      </c>
      <c r="G126" s="2" t="inlineStr">
        <is>
          <t>CIN-T-015</t>
        </is>
      </c>
      <c r="H126" s="2" t="inlineStr">
        <is>
          <t>24120255</t>
        </is>
      </c>
      <c r="I126" s="2" t="inlineStr">
        <is>
          <t>Tran Thien An</t>
        </is>
      </c>
      <c r="J126" s="2" t="inlineStr">
        <is>
          <t>Sprint 3</t>
        </is>
      </c>
      <c r="K126" s="2" t="inlineStr">
        <is>
          <t>24120235</t>
        </is>
      </c>
      <c r="L126" s="2" t="inlineStr">
        <is>
          <t>Huynh Thanh Tu</t>
        </is>
      </c>
      <c r="M126" s="3" t="n">
        <v>46326</v>
      </c>
      <c r="N126" s="3" t="n">
        <v>46339</v>
      </c>
      <c r="O126" s="2" t="n">
        <v>3</v>
      </c>
      <c r="P126" s="2" t="inlineStr">
        <is>
          <t>ORIG-090</t>
        </is>
      </c>
      <c r="Q126" s="2" t="inlineStr">
        <is>
          <t>High</t>
        </is>
      </c>
      <c r="R126" s="2" t="inlineStr">
        <is>
          <t>Planned</t>
        </is>
      </c>
    </row>
    <row r="127">
      <c r="A127" s="2" t="inlineStr">
        <is>
          <t>Sub-task</t>
        </is>
      </c>
      <c r="B127" s="2" t="inlineStr">
        <is>
          <t>CIN-SUB-091</t>
        </is>
      </c>
      <c r="C127" s="2" t="inlineStr">
        <is>
          <t>CIN-T-015</t>
        </is>
      </c>
      <c r="D127" s="2" t="inlineStr">
        <is>
          <t>API Ticket Type</t>
        </is>
      </c>
      <c r="E127" s="2" t="inlineStr">
        <is>
          <t>PH-03</t>
        </is>
      </c>
      <c r="F127" s="2" t="inlineStr">
        <is>
          <t>Core Product Build</t>
        </is>
      </c>
      <c r="G127" s="2" t="inlineStr">
        <is>
          <t>CIN-T-015</t>
        </is>
      </c>
      <c r="H127" s="2" t="inlineStr">
        <is>
          <t>24120255</t>
        </is>
      </c>
      <c r="I127" s="2" t="inlineStr">
        <is>
          <t>Tran Thien An</t>
        </is>
      </c>
      <c r="J127" s="2" t="inlineStr">
        <is>
          <t>Sprint 3</t>
        </is>
      </c>
      <c r="K127" s="2" t="inlineStr">
        <is>
          <t>24120271</t>
        </is>
      </c>
      <c r="L127" s="2" t="inlineStr">
        <is>
          <t>Nguyen Trung Chinh</t>
        </is>
      </c>
      <c r="M127" s="3" t="n">
        <v>46326</v>
      </c>
      <c r="N127" s="3" t="n">
        <v>46339</v>
      </c>
      <c r="O127" s="2" t="n">
        <v>3</v>
      </c>
      <c r="P127" s="2" t="inlineStr">
        <is>
          <t>ORIG-091</t>
        </is>
      </c>
      <c r="Q127" s="2" t="inlineStr">
        <is>
          <t>High</t>
        </is>
      </c>
      <c r="R127" s="2" t="inlineStr">
        <is>
          <t>Planned</t>
        </is>
      </c>
    </row>
    <row r="128">
      <c r="A128" s="2" t="inlineStr">
        <is>
          <t>Sub-task</t>
        </is>
      </c>
      <c r="B128" s="2" t="inlineStr">
        <is>
          <t>CIN-SUB-092</t>
        </is>
      </c>
      <c r="C128" s="2" t="inlineStr">
        <is>
          <t>CIN-T-015</t>
        </is>
      </c>
      <c r="D128" s="2" t="inlineStr">
        <is>
          <t>API Showtime</t>
        </is>
      </c>
      <c r="E128" s="2" t="inlineStr">
        <is>
          <t>PH-03</t>
        </is>
      </c>
      <c r="F128" s="2" t="inlineStr">
        <is>
          <t>Core Product Build</t>
        </is>
      </c>
      <c r="G128" s="2" t="inlineStr">
        <is>
          <t>CIN-T-015</t>
        </is>
      </c>
      <c r="H128" s="2" t="inlineStr">
        <is>
          <t>24120255</t>
        </is>
      </c>
      <c r="I128" s="2" t="inlineStr">
        <is>
          <t>Tran Thien An</t>
        </is>
      </c>
      <c r="J128" s="2" t="inlineStr">
        <is>
          <t>Sprint 3</t>
        </is>
      </c>
      <c r="K128" s="2" t="inlineStr">
        <is>
          <t>24120244</t>
        </is>
      </c>
      <c r="L128" s="2" t="inlineStr">
        <is>
          <t>Phan Van Viet</t>
        </is>
      </c>
      <c r="M128" s="3" t="n">
        <v>46326</v>
      </c>
      <c r="N128" s="3" t="n">
        <v>46339</v>
      </c>
      <c r="O128" s="2" t="n">
        <v>3</v>
      </c>
      <c r="P128" s="2" t="inlineStr">
        <is>
          <t>ORIG-092</t>
        </is>
      </c>
      <c r="Q128" s="2" t="inlineStr">
        <is>
          <t>High</t>
        </is>
      </c>
      <c r="R128" s="2" t="inlineStr">
        <is>
          <t>Planned</t>
        </is>
      </c>
    </row>
    <row r="129">
      <c r="A129" s="2" t="inlineStr">
        <is>
          <t>Sub-task</t>
        </is>
      </c>
      <c r="B129" s="2" t="inlineStr">
        <is>
          <t>CIN-SUB-093</t>
        </is>
      </c>
      <c r="C129" s="2" t="inlineStr">
        <is>
          <t>CIN-T-015</t>
        </is>
      </c>
      <c r="D129" s="2" t="inlineStr">
        <is>
          <t>API Schedule</t>
        </is>
      </c>
      <c r="E129" s="2" t="inlineStr">
        <is>
          <t>PH-03</t>
        </is>
      </c>
      <c r="F129" s="2" t="inlineStr">
        <is>
          <t>Core Product Build</t>
        </is>
      </c>
      <c r="G129" s="2" t="inlineStr">
        <is>
          <t>CIN-T-015</t>
        </is>
      </c>
      <c r="H129" s="2" t="inlineStr">
        <is>
          <t>24120255</t>
        </is>
      </c>
      <c r="I129" s="2" t="inlineStr">
        <is>
          <t>Tran Thien An</t>
        </is>
      </c>
      <c r="J129" s="2" t="inlineStr">
        <is>
          <t>Sprint 3</t>
        </is>
      </c>
      <c r="K129" s="2" t="inlineStr">
        <is>
          <t>24120255</t>
        </is>
      </c>
      <c r="L129" s="2" t="inlineStr">
        <is>
          <t>Tran Thien An</t>
        </is>
      </c>
      <c r="M129" s="3" t="n">
        <v>46326</v>
      </c>
      <c r="N129" s="3" t="n">
        <v>46339</v>
      </c>
      <c r="O129" s="2" t="n">
        <v>3</v>
      </c>
      <c r="P129" s="2" t="inlineStr">
        <is>
          <t>ORIG-093</t>
        </is>
      </c>
      <c r="Q129" s="2" t="inlineStr">
        <is>
          <t>High</t>
        </is>
      </c>
      <c r="R129" s="2" t="inlineStr">
        <is>
          <t>Planned</t>
        </is>
      </c>
    </row>
    <row r="130">
      <c r="A130" s="2" t="inlineStr">
        <is>
          <t>Sub-task</t>
        </is>
      </c>
      <c r="B130" s="2" t="inlineStr">
        <is>
          <t>CIN-SUB-094</t>
        </is>
      </c>
      <c r="C130" s="2" t="inlineStr">
        <is>
          <t>CIN-T-015</t>
        </is>
      </c>
      <c r="D130" s="2" t="inlineStr">
        <is>
          <t>API Seat Availability</t>
        </is>
      </c>
      <c r="E130" s="2" t="inlineStr">
        <is>
          <t>PH-03</t>
        </is>
      </c>
      <c r="F130" s="2" t="inlineStr">
        <is>
          <t>Core Product Build</t>
        </is>
      </c>
      <c r="G130" s="2" t="inlineStr">
        <is>
          <t>CIN-T-015</t>
        </is>
      </c>
      <c r="H130" s="2" t="inlineStr">
        <is>
          <t>24120255</t>
        </is>
      </c>
      <c r="I130" s="2" t="inlineStr">
        <is>
          <t>Tran Thien An</t>
        </is>
      </c>
      <c r="J130" s="2" t="inlineStr">
        <is>
          <t>Sprint 3</t>
        </is>
      </c>
      <c r="K130" s="2" t="inlineStr">
        <is>
          <t>24120098</t>
        </is>
      </c>
      <c r="L130" s="2" t="inlineStr">
        <is>
          <t>Nguyen Quoc Nam</t>
        </is>
      </c>
      <c r="M130" s="3" t="n">
        <v>46326</v>
      </c>
      <c r="N130" s="3" t="n">
        <v>46339</v>
      </c>
      <c r="O130" s="2" t="n">
        <v>3</v>
      </c>
      <c r="P130" s="2" t="inlineStr">
        <is>
          <t>ORIG-094</t>
        </is>
      </c>
      <c r="Q130" s="2" t="inlineStr">
        <is>
          <t>High</t>
        </is>
      </c>
      <c r="R130" s="2" t="inlineStr">
        <is>
          <t>Planned</t>
        </is>
      </c>
    </row>
    <row r="131">
      <c r="A131" s="6" t="inlineStr">
        <is>
          <t>Task</t>
        </is>
      </c>
      <c r="B131" s="6" t="inlineStr">
        <is>
          <t>CIN-T-016</t>
        </is>
      </c>
      <c r="C131" s="6" t="inlineStr">
        <is>
          <t>PH-03</t>
        </is>
      </c>
      <c r="D131" s="6" t="inlineStr">
        <is>
          <t>Triển khai API booking, ticket và payment</t>
        </is>
      </c>
      <c r="E131" s="6" t="inlineStr">
        <is>
          <t>PH-03</t>
        </is>
      </c>
      <c r="F131" s="6" t="inlineStr">
        <is>
          <t>Core Product Build</t>
        </is>
      </c>
      <c r="G131" s="6" t="inlineStr">
        <is>
          <t>CIN-T-016</t>
        </is>
      </c>
      <c r="H131" s="6" t="inlineStr">
        <is>
          <t>24120255</t>
        </is>
      </c>
      <c r="I131" s="6" t="inlineStr">
        <is>
          <t>Tran Thien An</t>
        </is>
      </c>
      <c r="J131" s="6" t="inlineStr">
        <is>
          <t>Sprint 4</t>
        </is>
      </c>
      <c r="K131" s="6" t="inlineStr"/>
      <c r="L131" s="6" t="inlineStr"/>
      <c r="M131" s="7" t="n">
        <v>46340</v>
      </c>
      <c r="N131" s="7" t="n">
        <v>46353</v>
      </c>
      <c r="O131" s="6">
        <f>SUMIFS('Master Subtasks'!$V$2:$V$293,'Master Subtasks'!$L$2:$L$293,$B131)</f>
        <v/>
      </c>
      <c r="P131" s="6" t="inlineStr"/>
      <c r="Q131" s="6" t="inlineStr">
        <is>
          <t>High</t>
        </is>
      </c>
      <c r="R131" s="6" t="inlineStr">
        <is>
          <t>Planned</t>
        </is>
      </c>
    </row>
    <row r="132">
      <c r="A132" s="2" t="inlineStr">
        <is>
          <t>Sub-task</t>
        </is>
      </c>
      <c r="B132" s="2" t="inlineStr">
        <is>
          <t>CIN-SUB-095</t>
        </is>
      </c>
      <c r="C132" s="2" t="inlineStr">
        <is>
          <t>CIN-T-016</t>
        </is>
      </c>
      <c r="D132" s="2" t="inlineStr">
        <is>
          <t>API Booking</t>
        </is>
      </c>
      <c r="E132" s="2" t="inlineStr">
        <is>
          <t>PH-03</t>
        </is>
      </c>
      <c r="F132" s="2" t="inlineStr">
        <is>
          <t>Core Product Build</t>
        </is>
      </c>
      <c r="G132" s="2" t="inlineStr">
        <is>
          <t>CIN-T-016</t>
        </is>
      </c>
      <c r="H132" s="2" t="inlineStr">
        <is>
          <t>24120255</t>
        </is>
      </c>
      <c r="I132" s="2" t="inlineStr">
        <is>
          <t>Tran Thien An</t>
        </is>
      </c>
      <c r="J132" s="2" t="inlineStr">
        <is>
          <t>Sprint 4</t>
        </is>
      </c>
      <c r="K132" s="2" t="inlineStr">
        <is>
          <t>24120255</t>
        </is>
      </c>
      <c r="L132" s="2" t="inlineStr">
        <is>
          <t>Tran Thien An</t>
        </is>
      </c>
      <c r="M132" s="3" t="n">
        <v>46340</v>
      </c>
      <c r="N132" s="3" t="n">
        <v>46353</v>
      </c>
      <c r="O132" s="2" t="n">
        <v>3</v>
      </c>
      <c r="P132" s="2" t="inlineStr">
        <is>
          <t>ORIG-095</t>
        </is>
      </c>
      <c r="Q132" s="2" t="inlineStr">
        <is>
          <t>High</t>
        </is>
      </c>
      <c r="R132" s="2" t="inlineStr">
        <is>
          <t>Planned</t>
        </is>
      </c>
    </row>
    <row r="133">
      <c r="A133" s="2" t="inlineStr">
        <is>
          <t>Sub-task</t>
        </is>
      </c>
      <c r="B133" s="2" t="inlineStr">
        <is>
          <t>CIN-SUB-096</t>
        </is>
      </c>
      <c r="C133" s="2" t="inlineStr">
        <is>
          <t>CIN-T-016</t>
        </is>
      </c>
      <c r="D133" s="2" t="inlineStr">
        <is>
          <t>API Booking Detail</t>
        </is>
      </c>
      <c r="E133" s="2" t="inlineStr">
        <is>
          <t>PH-03</t>
        </is>
      </c>
      <c r="F133" s="2" t="inlineStr">
        <is>
          <t>Core Product Build</t>
        </is>
      </c>
      <c r="G133" s="2" t="inlineStr">
        <is>
          <t>CIN-T-016</t>
        </is>
      </c>
      <c r="H133" s="2" t="inlineStr">
        <is>
          <t>24120255</t>
        </is>
      </c>
      <c r="I133" s="2" t="inlineStr">
        <is>
          <t>Tran Thien An</t>
        </is>
      </c>
      <c r="J133" s="2" t="inlineStr">
        <is>
          <t>Sprint 4</t>
        </is>
      </c>
      <c r="K133" s="2" t="inlineStr">
        <is>
          <t>24120271</t>
        </is>
      </c>
      <c r="L133" s="2" t="inlineStr">
        <is>
          <t>Nguyen Trung Chinh</t>
        </is>
      </c>
      <c r="M133" s="3" t="n">
        <v>46340</v>
      </c>
      <c r="N133" s="3" t="n">
        <v>46353</v>
      </c>
      <c r="O133" s="2" t="n">
        <v>3</v>
      </c>
      <c r="P133" s="2" t="inlineStr">
        <is>
          <t>ORIG-096</t>
        </is>
      </c>
      <c r="Q133" s="2" t="inlineStr">
        <is>
          <t>High</t>
        </is>
      </c>
      <c r="R133" s="2" t="inlineStr">
        <is>
          <t>Planned</t>
        </is>
      </c>
    </row>
    <row r="134">
      <c r="A134" s="2" t="inlineStr">
        <is>
          <t>Sub-task</t>
        </is>
      </c>
      <c r="B134" s="2" t="inlineStr">
        <is>
          <t>CIN-SUB-097</t>
        </is>
      </c>
      <c r="C134" s="2" t="inlineStr">
        <is>
          <t>CIN-T-016</t>
        </is>
      </c>
      <c r="D134" s="2" t="inlineStr">
        <is>
          <t>API Ticket</t>
        </is>
      </c>
      <c r="E134" s="2" t="inlineStr">
        <is>
          <t>PH-03</t>
        </is>
      </c>
      <c r="F134" s="2" t="inlineStr">
        <is>
          <t>Core Product Build</t>
        </is>
      </c>
      <c r="G134" s="2" t="inlineStr">
        <is>
          <t>CIN-T-016</t>
        </is>
      </c>
      <c r="H134" s="2" t="inlineStr">
        <is>
          <t>24120255</t>
        </is>
      </c>
      <c r="I134" s="2" t="inlineStr">
        <is>
          <t>Tran Thien An</t>
        </is>
      </c>
      <c r="J134" s="2" t="inlineStr">
        <is>
          <t>Sprint 4</t>
        </is>
      </c>
      <c r="K134" s="2" t="inlineStr">
        <is>
          <t>24120244</t>
        </is>
      </c>
      <c r="L134" s="2" t="inlineStr">
        <is>
          <t>Phan Van Viet</t>
        </is>
      </c>
      <c r="M134" s="3" t="n">
        <v>46340</v>
      </c>
      <c r="N134" s="3" t="n">
        <v>46353</v>
      </c>
      <c r="O134" s="2" t="n">
        <v>3</v>
      </c>
      <c r="P134" s="2" t="inlineStr">
        <is>
          <t>ORIG-097</t>
        </is>
      </c>
      <c r="Q134" s="2" t="inlineStr">
        <is>
          <t>High</t>
        </is>
      </c>
      <c r="R134" s="2" t="inlineStr">
        <is>
          <t>Planned</t>
        </is>
      </c>
    </row>
    <row r="135">
      <c r="A135" s="2" t="inlineStr">
        <is>
          <t>Sub-task</t>
        </is>
      </c>
      <c r="B135" s="2" t="inlineStr">
        <is>
          <t>CIN-SUB-098</t>
        </is>
      </c>
      <c r="C135" s="2" t="inlineStr">
        <is>
          <t>CIN-T-016</t>
        </is>
      </c>
      <c r="D135" s="2" t="inlineStr">
        <is>
          <t>API Payment</t>
        </is>
      </c>
      <c r="E135" s="2" t="inlineStr">
        <is>
          <t>PH-03</t>
        </is>
      </c>
      <c r="F135" s="2" t="inlineStr">
        <is>
          <t>Core Product Build</t>
        </is>
      </c>
      <c r="G135" s="2" t="inlineStr">
        <is>
          <t>CIN-T-016</t>
        </is>
      </c>
      <c r="H135" s="2" t="inlineStr">
        <is>
          <t>24120255</t>
        </is>
      </c>
      <c r="I135" s="2" t="inlineStr">
        <is>
          <t>Tran Thien An</t>
        </is>
      </c>
      <c r="J135" s="2" t="inlineStr">
        <is>
          <t>Sprint 4</t>
        </is>
      </c>
      <c r="K135" s="2" t="inlineStr">
        <is>
          <t>24120235</t>
        </is>
      </c>
      <c r="L135" s="2" t="inlineStr">
        <is>
          <t>Huynh Thanh Tu</t>
        </is>
      </c>
      <c r="M135" s="3" t="n">
        <v>46340</v>
      </c>
      <c r="N135" s="3" t="n">
        <v>46353</v>
      </c>
      <c r="O135" s="2" t="n">
        <v>3</v>
      </c>
      <c r="P135" s="2" t="inlineStr">
        <is>
          <t>ORIG-098</t>
        </is>
      </c>
      <c r="Q135" s="2" t="inlineStr">
        <is>
          <t>High</t>
        </is>
      </c>
      <c r="R135" s="2" t="inlineStr">
        <is>
          <t>Planned</t>
        </is>
      </c>
    </row>
    <row r="136">
      <c r="A136" s="6" t="inlineStr">
        <is>
          <t>Task</t>
        </is>
      </c>
      <c r="B136" s="6" t="inlineStr">
        <is>
          <t>CIN-T-018</t>
        </is>
      </c>
      <c r="C136" s="6" t="inlineStr">
        <is>
          <t>PH-03</t>
        </is>
      </c>
      <c r="D136" s="6" t="inlineStr">
        <is>
          <t>Chuẩn hóa API response và tài liệu OpenAPI</t>
        </is>
      </c>
      <c r="E136" s="6" t="inlineStr">
        <is>
          <t>PH-03</t>
        </is>
      </c>
      <c r="F136" s="6" t="inlineStr">
        <is>
          <t>Core Product Build</t>
        </is>
      </c>
      <c r="G136" s="6" t="inlineStr">
        <is>
          <t>CIN-T-018</t>
        </is>
      </c>
      <c r="H136" s="6" t="inlineStr">
        <is>
          <t>24120235</t>
        </is>
      </c>
      <c r="I136" s="6" t="inlineStr">
        <is>
          <t>Huynh Thanh Tu</t>
        </is>
      </c>
      <c r="J136" s="6" t="inlineStr">
        <is>
          <t>Sprint 3</t>
        </is>
      </c>
      <c r="K136" s="6" t="inlineStr"/>
      <c r="L136" s="6" t="inlineStr"/>
      <c r="M136" s="7" t="n">
        <v>46326</v>
      </c>
      <c r="N136" s="7" t="n">
        <v>46339</v>
      </c>
      <c r="O136" s="6">
        <f>SUMIFS('Master Subtasks'!$V$2:$V$293,'Master Subtasks'!$L$2:$L$293,$B136)</f>
        <v/>
      </c>
      <c r="P136" s="6" t="inlineStr"/>
      <c r="Q136" s="6" t="inlineStr">
        <is>
          <t>Medium</t>
        </is>
      </c>
      <c r="R136" s="6" t="inlineStr">
        <is>
          <t>Planned</t>
        </is>
      </c>
    </row>
    <row r="137">
      <c r="A137" s="2" t="inlineStr">
        <is>
          <t>Sub-task</t>
        </is>
      </c>
      <c r="B137" s="2" t="inlineStr">
        <is>
          <t>CIN-SUB-101</t>
        </is>
      </c>
      <c r="C137" s="2" t="inlineStr">
        <is>
          <t>CIN-T-018</t>
        </is>
      </c>
      <c r="D137" s="2" t="inlineStr">
        <is>
          <t>Swagger / OpenAPI</t>
        </is>
      </c>
      <c r="E137" s="2" t="inlineStr">
        <is>
          <t>PH-03</t>
        </is>
      </c>
      <c r="F137" s="2" t="inlineStr">
        <is>
          <t>Core Product Build</t>
        </is>
      </c>
      <c r="G137" s="2" t="inlineStr">
        <is>
          <t>CIN-T-018</t>
        </is>
      </c>
      <c r="H137" s="2" t="inlineStr">
        <is>
          <t>24120235</t>
        </is>
      </c>
      <c r="I137" s="2" t="inlineStr">
        <is>
          <t>Huynh Thanh Tu</t>
        </is>
      </c>
      <c r="J137" s="2" t="inlineStr">
        <is>
          <t>Sprint 3</t>
        </is>
      </c>
      <c r="K137" s="2" t="inlineStr">
        <is>
          <t>24120235</t>
        </is>
      </c>
      <c r="L137" s="2" t="inlineStr">
        <is>
          <t>Huynh Thanh Tu</t>
        </is>
      </c>
      <c r="M137" s="3" t="n">
        <v>46326</v>
      </c>
      <c r="N137" s="3" t="n">
        <v>46339</v>
      </c>
      <c r="O137" s="2" t="n">
        <v>3</v>
      </c>
      <c r="P137" s="2" t="inlineStr">
        <is>
          <t>ORIG-101</t>
        </is>
      </c>
      <c r="Q137" s="2" t="inlineStr">
        <is>
          <t>Medium</t>
        </is>
      </c>
      <c r="R137" s="2" t="inlineStr">
        <is>
          <t>Planned</t>
        </is>
      </c>
    </row>
    <row r="138">
      <c r="A138" s="2" t="inlineStr">
        <is>
          <t>Sub-task</t>
        </is>
      </c>
      <c r="B138" s="2" t="inlineStr">
        <is>
          <t>CIN-SUB-102</t>
        </is>
      </c>
      <c r="C138" s="2" t="inlineStr">
        <is>
          <t>CIN-T-018</t>
        </is>
      </c>
      <c r="D138" s="2" t="inlineStr">
        <is>
          <t>API Response Convention</t>
        </is>
      </c>
      <c r="E138" s="2" t="inlineStr">
        <is>
          <t>PH-03</t>
        </is>
      </c>
      <c r="F138" s="2" t="inlineStr">
        <is>
          <t>Core Product Build</t>
        </is>
      </c>
      <c r="G138" s="2" t="inlineStr">
        <is>
          <t>CIN-T-018</t>
        </is>
      </c>
      <c r="H138" s="2" t="inlineStr">
        <is>
          <t>24120235</t>
        </is>
      </c>
      <c r="I138" s="2" t="inlineStr">
        <is>
          <t>Huynh Thanh Tu</t>
        </is>
      </c>
      <c r="J138" s="2" t="inlineStr">
        <is>
          <t>Sprint 3</t>
        </is>
      </c>
      <c r="K138" s="2" t="inlineStr">
        <is>
          <t>24120271</t>
        </is>
      </c>
      <c r="L138" s="2" t="inlineStr">
        <is>
          <t>Nguyen Trung Chinh</t>
        </is>
      </c>
      <c r="M138" s="3" t="n">
        <v>46326</v>
      </c>
      <c r="N138" s="3" t="n">
        <v>46339</v>
      </c>
      <c r="O138" s="2" t="n">
        <v>3</v>
      </c>
      <c r="P138" s="2" t="inlineStr">
        <is>
          <t>ORIG-102</t>
        </is>
      </c>
      <c r="Q138" s="2" t="inlineStr">
        <is>
          <t>Medium</t>
        </is>
      </c>
      <c r="R138" s="2" t="inlineStr">
        <is>
          <t>Planned</t>
        </is>
      </c>
    </row>
    <row r="139">
      <c r="A139" s="6" t="inlineStr">
        <is>
          <t>Task</t>
        </is>
      </c>
      <c r="B139" s="6" t="inlineStr">
        <is>
          <t>CIN-T-019</t>
        </is>
      </c>
      <c r="C139" s="6" t="inlineStr">
        <is>
          <t>PH-03</t>
        </is>
      </c>
      <c r="D139" s="6" t="inlineStr">
        <is>
          <t>Triển khai đăng ký, đăng nhập và phân quyền</t>
        </is>
      </c>
      <c r="E139" s="6" t="inlineStr">
        <is>
          <t>PH-03</t>
        </is>
      </c>
      <c r="F139" s="6" t="inlineStr">
        <is>
          <t>Core Product Build</t>
        </is>
      </c>
      <c r="G139" s="6" t="inlineStr">
        <is>
          <t>CIN-T-019</t>
        </is>
      </c>
      <c r="H139" s="6" t="inlineStr">
        <is>
          <t>24120244</t>
        </is>
      </c>
      <c r="I139" s="6" t="inlineStr">
        <is>
          <t>Phan Van Viet</t>
        </is>
      </c>
      <c r="J139" s="6" t="inlineStr">
        <is>
          <t>Sprint 3</t>
        </is>
      </c>
      <c r="K139" s="6" t="inlineStr"/>
      <c r="L139" s="6" t="inlineStr"/>
      <c r="M139" s="7" t="n">
        <v>46326</v>
      </c>
      <c r="N139" s="7" t="n">
        <v>46339</v>
      </c>
      <c r="O139" s="6">
        <f>SUMIFS('Master Subtasks'!$V$2:$V$293,'Master Subtasks'!$L$2:$L$293,$B139)</f>
        <v/>
      </c>
      <c r="P139" s="6" t="inlineStr"/>
      <c r="Q139" s="6" t="inlineStr">
        <is>
          <t>High</t>
        </is>
      </c>
      <c r="R139" s="6" t="inlineStr">
        <is>
          <t>Planned</t>
        </is>
      </c>
    </row>
    <row r="140">
      <c r="A140" s="2" t="inlineStr">
        <is>
          <t>Sub-task</t>
        </is>
      </c>
      <c r="B140" s="2" t="inlineStr">
        <is>
          <t>CIN-SUB-103</t>
        </is>
      </c>
      <c r="C140" s="2" t="inlineStr">
        <is>
          <t>CIN-T-019</t>
        </is>
      </c>
      <c r="D140" s="2" t="inlineStr">
        <is>
          <t>Register</t>
        </is>
      </c>
      <c r="E140" s="2" t="inlineStr">
        <is>
          <t>PH-03</t>
        </is>
      </c>
      <c r="F140" s="2" t="inlineStr">
        <is>
          <t>Core Product Build</t>
        </is>
      </c>
      <c r="G140" s="2" t="inlineStr">
        <is>
          <t>CIN-T-019</t>
        </is>
      </c>
      <c r="H140" s="2" t="inlineStr">
        <is>
          <t>24120244</t>
        </is>
      </c>
      <c r="I140" s="2" t="inlineStr">
        <is>
          <t>Phan Van Viet</t>
        </is>
      </c>
      <c r="J140" s="2" t="inlineStr">
        <is>
          <t>Sprint 3</t>
        </is>
      </c>
      <c r="K140" s="2" t="inlineStr">
        <is>
          <t>24120244</t>
        </is>
      </c>
      <c r="L140" s="2" t="inlineStr">
        <is>
          <t>Phan Van Viet</t>
        </is>
      </c>
      <c r="M140" s="3" t="n">
        <v>46326</v>
      </c>
      <c r="N140" s="3" t="n">
        <v>46339</v>
      </c>
      <c r="O140" s="2" t="n">
        <v>2</v>
      </c>
      <c r="P140" s="2" t="inlineStr">
        <is>
          <t>ORIG-103</t>
        </is>
      </c>
      <c r="Q140" s="2" t="inlineStr">
        <is>
          <t>High</t>
        </is>
      </c>
      <c r="R140" s="2" t="inlineStr">
        <is>
          <t>Planned</t>
        </is>
      </c>
    </row>
    <row r="141">
      <c r="A141" s="2" t="inlineStr">
        <is>
          <t>Sub-task</t>
        </is>
      </c>
      <c r="B141" s="2" t="inlineStr">
        <is>
          <t>CIN-SUB-104</t>
        </is>
      </c>
      <c r="C141" s="2" t="inlineStr">
        <is>
          <t>CIN-T-019</t>
        </is>
      </c>
      <c r="D141" s="2" t="inlineStr">
        <is>
          <t>Login</t>
        </is>
      </c>
      <c r="E141" s="2" t="inlineStr">
        <is>
          <t>PH-03</t>
        </is>
      </c>
      <c r="F141" s="2" t="inlineStr">
        <is>
          <t>Core Product Build</t>
        </is>
      </c>
      <c r="G141" s="2" t="inlineStr">
        <is>
          <t>CIN-T-019</t>
        </is>
      </c>
      <c r="H141" s="2" t="inlineStr">
        <is>
          <t>24120244</t>
        </is>
      </c>
      <c r="I141" s="2" t="inlineStr">
        <is>
          <t>Phan Van Viet</t>
        </is>
      </c>
      <c r="J141" s="2" t="inlineStr">
        <is>
          <t>Sprint 3</t>
        </is>
      </c>
      <c r="K141" s="2" t="inlineStr">
        <is>
          <t>24120255</t>
        </is>
      </c>
      <c r="L141" s="2" t="inlineStr">
        <is>
          <t>Tran Thien An</t>
        </is>
      </c>
      <c r="M141" s="3" t="n">
        <v>46326</v>
      </c>
      <c r="N141" s="3" t="n">
        <v>46339</v>
      </c>
      <c r="O141" s="2" t="n">
        <v>2</v>
      </c>
      <c r="P141" s="2" t="inlineStr">
        <is>
          <t>ORIG-104</t>
        </is>
      </c>
      <c r="Q141" s="2" t="inlineStr">
        <is>
          <t>High</t>
        </is>
      </c>
      <c r="R141" s="2" t="inlineStr">
        <is>
          <t>Planned</t>
        </is>
      </c>
    </row>
    <row r="142">
      <c r="A142" s="2" t="inlineStr">
        <is>
          <t>Sub-task</t>
        </is>
      </c>
      <c r="B142" s="2" t="inlineStr">
        <is>
          <t>CIN-SUB-105</t>
        </is>
      </c>
      <c r="C142" s="2" t="inlineStr">
        <is>
          <t>CIN-T-019</t>
        </is>
      </c>
      <c r="D142" s="2" t="inlineStr">
        <is>
          <t>Password Hashing</t>
        </is>
      </c>
      <c r="E142" s="2" t="inlineStr">
        <is>
          <t>PH-03</t>
        </is>
      </c>
      <c r="F142" s="2" t="inlineStr">
        <is>
          <t>Core Product Build</t>
        </is>
      </c>
      <c r="G142" s="2" t="inlineStr">
        <is>
          <t>CIN-T-019</t>
        </is>
      </c>
      <c r="H142" s="2" t="inlineStr">
        <is>
          <t>24120244</t>
        </is>
      </c>
      <c r="I142" s="2" t="inlineStr">
        <is>
          <t>Phan Van Viet</t>
        </is>
      </c>
      <c r="J142" s="2" t="inlineStr">
        <is>
          <t>Sprint 3</t>
        </is>
      </c>
      <c r="K142" s="2" t="inlineStr">
        <is>
          <t>24120244</t>
        </is>
      </c>
      <c r="L142" s="2" t="inlineStr">
        <is>
          <t>Phan Van Viet</t>
        </is>
      </c>
      <c r="M142" s="3" t="n">
        <v>46326</v>
      </c>
      <c r="N142" s="3" t="n">
        <v>46339</v>
      </c>
      <c r="O142" s="2" t="n">
        <v>2</v>
      </c>
      <c r="P142" s="2" t="inlineStr">
        <is>
          <t>ORIG-105</t>
        </is>
      </c>
      <c r="Q142" s="2" t="inlineStr">
        <is>
          <t>High</t>
        </is>
      </c>
      <c r="R142" s="2" t="inlineStr">
        <is>
          <t>Planned</t>
        </is>
      </c>
    </row>
    <row r="143">
      <c r="A143" s="2" t="inlineStr">
        <is>
          <t>Sub-task</t>
        </is>
      </c>
      <c r="B143" s="2" t="inlineStr">
        <is>
          <t>CIN-SUB-106</t>
        </is>
      </c>
      <c r="C143" s="2" t="inlineStr">
        <is>
          <t>CIN-T-019</t>
        </is>
      </c>
      <c r="D143" s="2" t="inlineStr">
        <is>
          <t>JWT / Authentication</t>
        </is>
      </c>
      <c r="E143" s="2" t="inlineStr">
        <is>
          <t>PH-03</t>
        </is>
      </c>
      <c r="F143" s="2" t="inlineStr">
        <is>
          <t>Core Product Build</t>
        </is>
      </c>
      <c r="G143" s="2" t="inlineStr">
        <is>
          <t>CIN-T-019</t>
        </is>
      </c>
      <c r="H143" s="2" t="inlineStr">
        <is>
          <t>24120244</t>
        </is>
      </c>
      <c r="I143" s="2" t="inlineStr">
        <is>
          <t>Phan Van Viet</t>
        </is>
      </c>
      <c r="J143" s="2" t="inlineStr">
        <is>
          <t>Sprint 3</t>
        </is>
      </c>
      <c r="K143" s="2" t="inlineStr">
        <is>
          <t>24120098</t>
        </is>
      </c>
      <c r="L143" s="2" t="inlineStr">
        <is>
          <t>Nguyen Quoc Nam</t>
        </is>
      </c>
      <c r="M143" s="3" t="n">
        <v>46326</v>
      </c>
      <c r="N143" s="3" t="n">
        <v>46339</v>
      </c>
      <c r="O143" s="2" t="n">
        <v>3</v>
      </c>
      <c r="P143" s="2" t="inlineStr">
        <is>
          <t>ORIG-106</t>
        </is>
      </c>
      <c r="Q143" s="2" t="inlineStr">
        <is>
          <t>High</t>
        </is>
      </c>
      <c r="R143" s="2" t="inlineStr">
        <is>
          <t>Planned</t>
        </is>
      </c>
    </row>
    <row r="144">
      <c r="A144" s="2" t="inlineStr">
        <is>
          <t>Sub-task</t>
        </is>
      </c>
      <c r="B144" s="2" t="inlineStr">
        <is>
          <t>CIN-SUB-107</t>
        </is>
      </c>
      <c r="C144" s="2" t="inlineStr">
        <is>
          <t>CIN-T-019</t>
        </is>
      </c>
      <c r="D144" s="2" t="inlineStr">
        <is>
          <t>Token Expiration</t>
        </is>
      </c>
      <c r="E144" s="2" t="inlineStr">
        <is>
          <t>PH-03</t>
        </is>
      </c>
      <c r="F144" s="2" t="inlineStr">
        <is>
          <t>Core Product Build</t>
        </is>
      </c>
      <c r="G144" s="2" t="inlineStr">
        <is>
          <t>CIN-T-019</t>
        </is>
      </c>
      <c r="H144" s="2" t="inlineStr">
        <is>
          <t>24120244</t>
        </is>
      </c>
      <c r="I144" s="2" t="inlineStr">
        <is>
          <t>Phan Van Viet</t>
        </is>
      </c>
      <c r="J144" s="2" t="inlineStr">
        <is>
          <t>Sprint 3</t>
        </is>
      </c>
      <c r="K144" s="2" t="inlineStr">
        <is>
          <t>24120235</t>
        </is>
      </c>
      <c r="L144" s="2" t="inlineStr">
        <is>
          <t>Huynh Thanh Tu</t>
        </is>
      </c>
      <c r="M144" s="3" t="n">
        <v>46326</v>
      </c>
      <c r="N144" s="3" t="n">
        <v>46339</v>
      </c>
      <c r="O144" s="2" t="n">
        <v>2</v>
      </c>
      <c r="P144" s="2" t="inlineStr">
        <is>
          <t>ORIG-107</t>
        </is>
      </c>
      <c r="Q144" s="2" t="inlineStr">
        <is>
          <t>High</t>
        </is>
      </c>
      <c r="R144" s="2" t="inlineStr">
        <is>
          <t>Planned</t>
        </is>
      </c>
    </row>
    <row r="145">
      <c r="A145" s="2" t="inlineStr">
        <is>
          <t>Sub-task</t>
        </is>
      </c>
      <c r="B145" s="2" t="inlineStr">
        <is>
          <t>CIN-SUB-108</t>
        </is>
      </c>
      <c r="C145" s="2" t="inlineStr">
        <is>
          <t>CIN-T-019</t>
        </is>
      </c>
      <c r="D145" s="2" t="inlineStr">
        <is>
          <t>Role</t>
        </is>
      </c>
      <c r="E145" s="2" t="inlineStr">
        <is>
          <t>PH-03</t>
        </is>
      </c>
      <c r="F145" s="2" t="inlineStr">
        <is>
          <t>Core Product Build</t>
        </is>
      </c>
      <c r="G145" s="2" t="inlineStr">
        <is>
          <t>CIN-T-019</t>
        </is>
      </c>
      <c r="H145" s="2" t="inlineStr">
        <is>
          <t>24120244</t>
        </is>
      </c>
      <c r="I145" s="2" t="inlineStr">
        <is>
          <t>Phan Van Viet</t>
        </is>
      </c>
      <c r="J145" s="2" t="inlineStr">
        <is>
          <t>Sprint 3</t>
        </is>
      </c>
      <c r="K145" s="2" t="inlineStr">
        <is>
          <t>24120271</t>
        </is>
      </c>
      <c r="L145" s="2" t="inlineStr">
        <is>
          <t>Nguyen Trung Chinh</t>
        </is>
      </c>
      <c r="M145" s="3" t="n">
        <v>46326</v>
      </c>
      <c r="N145" s="3" t="n">
        <v>46339</v>
      </c>
      <c r="O145" s="2" t="n">
        <v>2</v>
      </c>
      <c r="P145" s="2" t="inlineStr">
        <is>
          <t>ORIG-108</t>
        </is>
      </c>
      <c r="Q145" s="2" t="inlineStr">
        <is>
          <t>High</t>
        </is>
      </c>
      <c r="R145" s="2" t="inlineStr">
        <is>
          <t>Planned</t>
        </is>
      </c>
    </row>
    <row r="146">
      <c r="A146" s="2" t="inlineStr">
        <is>
          <t>Sub-task</t>
        </is>
      </c>
      <c r="B146" s="2" t="inlineStr">
        <is>
          <t>CIN-SUB-109</t>
        </is>
      </c>
      <c r="C146" s="2" t="inlineStr">
        <is>
          <t>CIN-T-019</t>
        </is>
      </c>
      <c r="D146" s="2" t="inlineStr">
        <is>
          <t>Authorization</t>
        </is>
      </c>
      <c r="E146" s="2" t="inlineStr">
        <is>
          <t>PH-03</t>
        </is>
      </c>
      <c r="F146" s="2" t="inlineStr">
        <is>
          <t>Core Product Build</t>
        </is>
      </c>
      <c r="G146" s="2" t="inlineStr">
        <is>
          <t>CIN-T-019</t>
        </is>
      </c>
      <c r="H146" s="2" t="inlineStr">
        <is>
          <t>24120244</t>
        </is>
      </c>
      <c r="I146" s="2" t="inlineStr">
        <is>
          <t>Phan Van Viet</t>
        </is>
      </c>
      <c r="J146" s="2" t="inlineStr">
        <is>
          <t>Sprint 3</t>
        </is>
      </c>
      <c r="K146" s="2" t="inlineStr">
        <is>
          <t>24120255</t>
        </is>
      </c>
      <c r="L146" s="2" t="inlineStr">
        <is>
          <t>Tran Thien An</t>
        </is>
      </c>
      <c r="M146" s="3" t="n">
        <v>46326</v>
      </c>
      <c r="N146" s="3" t="n">
        <v>46339</v>
      </c>
      <c r="O146" s="2" t="n">
        <v>3</v>
      </c>
      <c r="P146" s="2" t="inlineStr">
        <is>
          <t>ORIG-109</t>
        </is>
      </c>
      <c r="Q146" s="2" t="inlineStr">
        <is>
          <t>High</t>
        </is>
      </c>
      <c r="R146" s="2" t="inlineStr">
        <is>
          <t>Planned</t>
        </is>
      </c>
    </row>
    <row r="147">
      <c r="A147" s="2" t="inlineStr">
        <is>
          <t>Sub-task</t>
        </is>
      </c>
      <c r="B147" s="2" t="inlineStr">
        <is>
          <t>CIN-SUB-110</t>
        </is>
      </c>
      <c r="C147" s="2" t="inlineStr">
        <is>
          <t>CIN-T-019</t>
        </is>
      </c>
      <c r="D147" s="2" t="inlineStr">
        <is>
          <t>User Profile</t>
        </is>
      </c>
      <c r="E147" s="2" t="inlineStr">
        <is>
          <t>PH-03</t>
        </is>
      </c>
      <c r="F147" s="2" t="inlineStr">
        <is>
          <t>Core Product Build</t>
        </is>
      </c>
      <c r="G147" s="2" t="inlineStr">
        <is>
          <t>CIN-T-019</t>
        </is>
      </c>
      <c r="H147" s="2" t="inlineStr">
        <is>
          <t>24120244</t>
        </is>
      </c>
      <c r="I147" s="2" t="inlineStr">
        <is>
          <t>Phan Van Viet</t>
        </is>
      </c>
      <c r="J147" s="2" t="inlineStr">
        <is>
          <t>Sprint 3</t>
        </is>
      </c>
      <c r="K147" s="2" t="inlineStr">
        <is>
          <t>24120244</t>
        </is>
      </c>
      <c r="L147" s="2" t="inlineStr">
        <is>
          <t>Phan Van Viet</t>
        </is>
      </c>
      <c r="M147" s="3" t="n">
        <v>46326</v>
      </c>
      <c r="N147" s="3" t="n">
        <v>46339</v>
      </c>
      <c r="O147" s="2" t="n">
        <v>2</v>
      </c>
      <c r="P147" s="2" t="inlineStr">
        <is>
          <t>ORIG-110</t>
        </is>
      </c>
      <c r="Q147" s="2" t="inlineStr">
        <is>
          <t>High</t>
        </is>
      </c>
      <c r="R147" s="2" t="inlineStr">
        <is>
          <t>Planned</t>
        </is>
      </c>
    </row>
    <row r="148">
      <c r="A148" s="2" t="inlineStr">
        <is>
          <t>Sub-task</t>
        </is>
      </c>
      <c r="B148" s="2" t="inlineStr">
        <is>
          <t>CIN-SUB-111</t>
        </is>
      </c>
      <c r="C148" s="2" t="inlineStr">
        <is>
          <t>CIN-T-019</t>
        </is>
      </c>
      <c r="D148" s="2" t="inlineStr">
        <is>
          <t>Change Password</t>
        </is>
      </c>
      <c r="E148" s="2" t="inlineStr">
        <is>
          <t>PH-03</t>
        </is>
      </c>
      <c r="F148" s="2" t="inlineStr">
        <is>
          <t>Core Product Build</t>
        </is>
      </c>
      <c r="G148" s="2" t="inlineStr">
        <is>
          <t>CIN-T-019</t>
        </is>
      </c>
      <c r="H148" s="2" t="inlineStr">
        <is>
          <t>24120244</t>
        </is>
      </c>
      <c r="I148" s="2" t="inlineStr">
        <is>
          <t>Phan Van Viet</t>
        </is>
      </c>
      <c r="J148" s="2" t="inlineStr">
        <is>
          <t>Sprint 3</t>
        </is>
      </c>
      <c r="K148" s="2" t="inlineStr">
        <is>
          <t>24120235</t>
        </is>
      </c>
      <c r="L148" s="2" t="inlineStr">
        <is>
          <t>Huynh Thanh Tu</t>
        </is>
      </c>
      <c r="M148" s="3" t="n">
        <v>46326</v>
      </c>
      <c r="N148" s="3" t="n">
        <v>46339</v>
      </c>
      <c r="O148" s="2" t="n">
        <v>2</v>
      </c>
      <c r="P148" s="2" t="inlineStr">
        <is>
          <t>ORIG-111</t>
        </is>
      </c>
      <c r="Q148" s="2" t="inlineStr">
        <is>
          <t>High</t>
        </is>
      </c>
      <c r="R148" s="2" t="inlineStr">
        <is>
          <t>Planned</t>
        </is>
      </c>
    </row>
    <row r="149">
      <c r="A149" s="6" t="inlineStr">
        <is>
          <t>Task</t>
        </is>
      </c>
      <c r="B149" s="6" t="inlineStr">
        <is>
          <t>CIN-T-020</t>
        </is>
      </c>
      <c r="C149" s="6" t="inlineStr">
        <is>
          <t>PH-03</t>
        </is>
      </c>
      <c r="D149" s="6" t="inlineStr">
        <is>
          <t>Xây nghiệp vụ quản lý phim, phòng, ghế và loại vé</t>
        </is>
      </c>
      <c r="E149" s="6" t="inlineStr">
        <is>
          <t>PH-03</t>
        </is>
      </c>
      <c r="F149" s="6" t="inlineStr">
        <is>
          <t>Core Product Build</t>
        </is>
      </c>
      <c r="G149" s="6" t="inlineStr">
        <is>
          <t>CIN-T-020</t>
        </is>
      </c>
      <c r="H149" s="6" t="inlineStr">
        <is>
          <t>24120271</t>
        </is>
      </c>
      <c r="I149" s="6" t="inlineStr">
        <is>
          <t>Nguyen Trung Chinh</t>
        </is>
      </c>
      <c r="J149" s="6" t="inlineStr">
        <is>
          <t>Sprint 3</t>
        </is>
      </c>
      <c r="K149" s="6" t="inlineStr"/>
      <c r="L149" s="6" t="inlineStr"/>
      <c r="M149" s="7" t="n">
        <v>46326</v>
      </c>
      <c r="N149" s="7" t="n">
        <v>46339</v>
      </c>
      <c r="O149" s="6">
        <f>SUMIFS('Master Subtasks'!$V$2:$V$293,'Master Subtasks'!$L$2:$L$293,$B149)</f>
        <v/>
      </c>
      <c r="P149" s="6" t="inlineStr"/>
      <c r="Q149" s="6" t="inlineStr">
        <is>
          <t>High</t>
        </is>
      </c>
      <c r="R149" s="6" t="inlineStr">
        <is>
          <t>Planned</t>
        </is>
      </c>
    </row>
    <row r="150">
      <c r="A150" s="2" t="inlineStr">
        <is>
          <t>Sub-task</t>
        </is>
      </c>
      <c r="B150" s="2" t="inlineStr">
        <is>
          <t>CIN-SUB-112</t>
        </is>
      </c>
      <c r="C150" s="2" t="inlineStr">
        <is>
          <t>CIN-T-020</t>
        </is>
      </c>
      <c r="D150" s="2" t="inlineStr">
        <is>
          <t>Quản lý Movie</t>
        </is>
      </c>
      <c r="E150" s="2" t="inlineStr">
        <is>
          <t>PH-03</t>
        </is>
      </c>
      <c r="F150" s="2" t="inlineStr">
        <is>
          <t>Core Product Build</t>
        </is>
      </c>
      <c r="G150" s="2" t="inlineStr">
        <is>
          <t>CIN-T-020</t>
        </is>
      </c>
      <c r="H150" s="2" t="inlineStr">
        <is>
          <t>24120271</t>
        </is>
      </c>
      <c r="I150" s="2" t="inlineStr">
        <is>
          <t>Nguyen Trung Chinh</t>
        </is>
      </c>
      <c r="J150" s="2" t="inlineStr">
        <is>
          <t>Sprint 3</t>
        </is>
      </c>
      <c r="K150" s="2" t="inlineStr">
        <is>
          <t>24120271</t>
        </is>
      </c>
      <c r="L150" s="2" t="inlineStr">
        <is>
          <t>Nguyen Trung Chinh</t>
        </is>
      </c>
      <c r="M150" s="3" t="n">
        <v>46326</v>
      </c>
      <c r="N150" s="3" t="n">
        <v>46339</v>
      </c>
      <c r="O150" s="2" t="n">
        <v>2</v>
      </c>
      <c r="P150" s="2" t="inlineStr">
        <is>
          <t>ORIG-112</t>
        </is>
      </c>
      <c r="Q150" s="2" t="inlineStr">
        <is>
          <t>High</t>
        </is>
      </c>
      <c r="R150" s="2" t="inlineStr">
        <is>
          <t>Planned</t>
        </is>
      </c>
    </row>
    <row r="151">
      <c r="A151" s="2" t="inlineStr">
        <is>
          <t>Sub-task</t>
        </is>
      </c>
      <c r="B151" s="2" t="inlineStr">
        <is>
          <t>CIN-SUB-113</t>
        </is>
      </c>
      <c r="C151" s="2" t="inlineStr">
        <is>
          <t>CIN-T-020</t>
        </is>
      </c>
      <c r="D151" s="2" t="inlineStr">
        <is>
          <t>Quản lý Genre</t>
        </is>
      </c>
      <c r="E151" s="2" t="inlineStr">
        <is>
          <t>PH-03</t>
        </is>
      </c>
      <c r="F151" s="2" t="inlineStr">
        <is>
          <t>Core Product Build</t>
        </is>
      </c>
      <c r="G151" s="2" t="inlineStr">
        <is>
          <t>CIN-T-020</t>
        </is>
      </c>
      <c r="H151" s="2" t="inlineStr">
        <is>
          <t>24120271</t>
        </is>
      </c>
      <c r="I151" s="2" t="inlineStr">
        <is>
          <t>Nguyen Trung Chinh</t>
        </is>
      </c>
      <c r="J151" s="2" t="inlineStr">
        <is>
          <t>Sprint 3</t>
        </is>
      </c>
      <c r="K151" s="2" t="inlineStr">
        <is>
          <t>24120098</t>
        </is>
      </c>
      <c r="L151" s="2" t="inlineStr">
        <is>
          <t>Nguyen Quoc Nam</t>
        </is>
      </c>
      <c r="M151" s="3" t="n">
        <v>46326</v>
      </c>
      <c r="N151" s="3" t="n">
        <v>46339</v>
      </c>
      <c r="O151" s="2" t="n">
        <v>2</v>
      </c>
      <c r="P151" s="2" t="inlineStr">
        <is>
          <t>ORIG-113</t>
        </is>
      </c>
      <c r="Q151" s="2" t="inlineStr">
        <is>
          <t>High</t>
        </is>
      </c>
      <c r="R151" s="2" t="inlineStr">
        <is>
          <t>Planned</t>
        </is>
      </c>
    </row>
    <row r="152">
      <c r="A152" s="2" t="inlineStr">
        <is>
          <t>Sub-task</t>
        </is>
      </c>
      <c r="B152" s="2" t="inlineStr">
        <is>
          <t>CIN-SUB-114</t>
        </is>
      </c>
      <c r="C152" s="2" t="inlineStr">
        <is>
          <t>CIN-T-020</t>
        </is>
      </c>
      <c r="D152" s="2" t="inlineStr">
        <is>
          <t>Quản lý Cinema Room</t>
        </is>
      </c>
      <c r="E152" s="2" t="inlineStr">
        <is>
          <t>PH-03</t>
        </is>
      </c>
      <c r="F152" s="2" t="inlineStr">
        <is>
          <t>Core Product Build</t>
        </is>
      </c>
      <c r="G152" s="2" t="inlineStr">
        <is>
          <t>CIN-T-020</t>
        </is>
      </c>
      <c r="H152" s="2" t="inlineStr">
        <is>
          <t>24120271</t>
        </is>
      </c>
      <c r="I152" s="2" t="inlineStr">
        <is>
          <t>Nguyen Trung Chinh</t>
        </is>
      </c>
      <c r="J152" s="2" t="inlineStr">
        <is>
          <t>Sprint 3</t>
        </is>
      </c>
      <c r="K152" s="2" t="inlineStr">
        <is>
          <t>24120244</t>
        </is>
      </c>
      <c r="L152" s="2" t="inlineStr">
        <is>
          <t>Phan Van Viet</t>
        </is>
      </c>
      <c r="M152" s="3" t="n">
        <v>46326</v>
      </c>
      <c r="N152" s="3" t="n">
        <v>46339</v>
      </c>
      <c r="O152" s="2" t="n">
        <v>2</v>
      </c>
      <c r="P152" s="2" t="inlineStr">
        <is>
          <t>ORIG-114</t>
        </is>
      </c>
      <c r="Q152" s="2" t="inlineStr">
        <is>
          <t>High</t>
        </is>
      </c>
      <c r="R152" s="2" t="inlineStr">
        <is>
          <t>Planned</t>
        </is>
      </c>
    </row>
    <row r="153">
      <c r="A153" s="2" t="inlineStr">
        <is>
          <t>Sub-task</t>
        </is>
      </c>
      <c r="B153" s="2" t="inlineStr">
        <is>
          <t>CIN-SUB-115</t>
        </is>
      </c>
      <c r="C153" s="2" t="inlineStr">
        <is>
          <t>CIN-T-020</t>
        </is>
      </c>
      <c r="D153" s="2" t="inlineStr">
        <is>
          <t>Quản lý Seat</t>
        </is>
      </c>
      <c r="E153" s="2" t="inlineStr">
        <is>
          <t>PH-03</t>
        </is>
      </c>
      <c r="F153" s="2" t="inlineStr">
        <is>
          <t>Core Product Build</t>
        </is>
      </c>
      <c r="G153" s="2" t="inlineStr">
        <is>
          <t>CIN-T-020</t>
        </is>
      </c>
      <c r="H153" s="2" t="inlineStr">
        <is>
          <t>24120271</t>
        </is>
      </c>
      <c r="I153" s="2" t="inlineStr">
        <is>
          <t>Nguyen Trung Chinh</t>
        </is>
      </c>
      <c r="J153" s="2" t="inlineStr">
        <is>
          <t>Sprint 3</t>
        </is>
      </c>
      <c r="K153" s="2" t="inlineStr">
        <is>
          <t>24120255</t>
        </is>
      </c>
      <c r="L153" s="2" t="inlineStr">
        <is>
          <t>Tran Thien An</t>
        </is>
      </c>
      <c r="M153" s="3" t="n">
        <v>46326</v>
      </c>
      <c r="N153" s="3" t="n">
        <v>46339</v>
      </c>
      <c r="O153" s="2" t="n">
        <v>2</v>
      </c>
      <c r="P153" s="2" t="inlineStr">
        <is>
          <t>ORIG-115</t>
        </is>
      </c>
      <c r="Q153" s="2" t="inlineStr">
        <is>
          <t>High</t>
        </is>
      </c>
      <c r="R153" s="2" t="inlineStr">
        <is>
          <t>Planned</t>
        </is>
      </c>
    </row>
    <row r="154">
      <c r="A154" s="2" t="inlineStr">
        <is>
          <t>Sub-task</t>
        </is>
      </c>
      <c r="B154" s="2" t="inlineStr">
        <is>
          <t>CIN-SUB-116</t>
        </is>
      </c>
      <c r="C154" s="2" t="inlineStr">
        <is>
          <t>CIN-T-020</t>
        </is>
      </c>
      <c r="D154" s="2" t="inlineStr">
        <is>
          <t>Quản lý Seat Type</t>
        </is>
      </c>
      <c r="E154" s="2" t="inlineStr">
        <is>
          <t>PH-03</t>
        </is>
      </c>
      <c r="F154" s="2" t="inlineStr">
        <is>
          <t>Core Product Build</t>
        </is>
      </c>
      <c r="G154" s="2" t="inlineStr">
        <is>
          <t>CIN-T-020</t>
        </is>
      </c>
      <c r="H154" s="2" t="inlineStr">
        <is>
          <t>24120271</t>
        </is>
      </c>
      <c r="I154" s="2" t="inlineStr">
        <is>
          <t>Nguyen Trung Chinh</t>
        </is>
      </c>
      <c r="J154" s="2" t="inlineStr">
        <is>
          <t>Sprint 3</t>
        </is>
      </c>
      <c r="K154" s="2" t="inlineStr">
        <is>
          <t>24120235</t>
        </is>
      </c>
      <c r="L154" s="2" t="inlineStr">
        <is>
          <t>Huynh Thanh Tu</t>
        </is>
      </c>
      <c r="M154" s="3" t="n">
        <v>46326</v>
      </c>
      <c r="N154" s="3" t="n">
        <v>46339</v>
      </c>
      <c r="O154" s="2" t="n">
        <v>2</v>
      </c>
      <c r="P154" s="2" t="inlineStr">
        <is>
          <t>ORIG-116</t>
        </is>
      </c>
      <c r="Q154" s="2" t="inlineStr">
        <is>
          <t>High</t>
        </is>
      </c>
      <c r="R154" s="2" t="inlineStr">
        <is>
          <t>Planned</t>
        </is>
      </c>
    </row>
    <row r="155">
      <c r="A155" s="2" t="inlineStr">
        <is>
          <t>Sub-task</t>
        </is>
      </c>
      <c r="B155" s="2" t="inlineStr">
        <is>
          <t>CIN-SUB-117</t>
        </is>
      </c>
      <c r="C155" s="2" t="inlineStr">
        <is>
          <t>CIN-T-020</t>
        </is>
      </c>
      <c r="D155" s="2" t="inlineStr">
        <is>
          <t>Quản lý Ticket Type</t>
        </is>
      </c>
      <c r="E155" s="2" t="inlineStr">
        <is>
          <t>PH-03</t>
        </is>
      </c>
      <c r="F155" s="2" t="inlineStr">
        <is>
          <t>Core Product Build</t>
        </is>
      </c>
      <c r="G155" s="2" t="inlineStr">
        <is>
          <t>CIN-T-020</t>
        </is>
      </c>
      <c r="H155" s="2" t="inlineStr">
        <is>
          <t>24120271</t>
        </is>
      </c>
      <c r="I155" s="2" t="inlineStr">
        <is>
          <t>Nguyen Trung Chinh</t>
        </is>
      </c>
      <c r="J155" s="2" t="inlineStr">
        <is>
          <t>Sprint 3</t>
        </is>
      </c>
      <c r="K155" s="2" t="inlineStr">
        <is>
          <t>24120271</t>
        </is>
      </c>
      <c r="L155" s="2" t="inlineStr">
        <is>
          <t>Nguyen Trung Chinh</t>
        </is>
      </c>
      <c r="M155" s="3" t="n">
        <v>46326</v>
      </c>
      <c r="N155" s="3" t="n">
        <v>46339</v>
      </c>
      <c r="O155" s="2" t="n">
        <v>3</v>
      </c>
      <c r="P155" s="2" t="inlineStr">
        <is>
          <t>ORIG-117</t>
        </is>
      </c>
      <c r="Q155" s="2" t="inlineStr">
        <is>
          <t>High</t>
        </is>
      </c>
      <c r="R155" s="2" t="inlineStr">
        <is>
          <t>Planned</t>
        </is>
      </c>
    </row>
    <row r="156">
      <c r="A156" s="6" t="inlineStr">
        <is>
          <t>Task</t>
        </is>
      </c>
      <c r="B156" s="6" t="inlineStr">
        <is>
          <t>CIN-T-021</t>
        </is>
      </c>
      <c r="C156" s="6" t="inlineStr">
        <is>
          <t>PH-03</t>
        </is>
      </c>
      <c r="D156" s="6" t="inlineStr">
        <is>
          <t>Xây nghiệp vụ suất chiếu và kiểm tra lịch</t>
        </is>
      </c>
      <c r="E156" s="6" t="inlineStr">
        <is>
          <t>PH-03</t>
        </is>
      </c>
      <c r="F156" s="6" t="inlineStr">
        <is>
          <t>Core Product Build</t>
        </is>
      </c>
      <c r="G156" s="6" t="inlineStr">
        <is>
          <t>CIN-T-021</t>
        </is>
      </c>
      <c r="H156" s="6" t="inlineStr">
        <is>
          <t>24120098</t>
        </is>
      </c>
      <c r="I156" s="6" t="inlineStr">
        <is>
          <t>Nguyen Quoc Nam</t>
        </is>
      </c>
      <c r="J156" s="6" t="inlineStr">
        <is>
          <t>Sprint 3</t>
        </is>
      </c>
      <c r="K156" s="6" t="inlineStr"/>
      <c r="L156" s="6" t="inlineStr"/>
      <c r="M156" s="7" t="n">
        <v>46326</v>
      </c>
      <c r="N156" s="7" t="n">
        <v>46339</v>
      </c>
      <c r="O156" s="6">
        <f>SUMIFS('Master Subtasks'!$V$2:$V$293,'Master Subtasks'!$L$2:$L$293,$B156)</f>
        <v/>
      </c>
      <c r="P156" s="6" t="inlineStr"/>
      <c r="Q156" s="6" t="inlineStr">
        <is>
          <t>High</t>
        </is>
      </c>
      <c r="R156" s="6" t="inlineStr">
        <is>
          <t>Planned</t>
        </is>
      </c>
    </row>
    <row r="157">
      <c r="A157" s="2" t="inlineStr">
        <is>
          <t>Sub-task</t>
        </is>
      </c>
      <c r="B157" s="2" t="inlineStr">
        <is>
          <t>CIN-SUB-118</t>
        </is>
      </c>
      <c r="C157" s="2" t="inlineStr">
        <is>
          <t>CIN-T-021</t>
        </is>
      </c>
      <c r="D157" s="2" t="inlineStr">
        <is>
          <t>Tạo Showtime</t>
        </is>
      </c>
      <c r="E157" s="2" t="inlineStr">
        <is>
          <t>PH-03</t>
        </is>
      </c>
      <c r="F157" s="2" t="inlineStr">
        <is>
          <t>Core Product Build</t>
        </is>
      </c>
      <c r="G157" s="2" t="inlineStr">
        <is>
          <t>CIN-T-021</t>
        </is>
      </c>
      <c r="H157" s="2" t="inlineStr">
        <is>
          <t>24120098</t>
        </is>
      </c>
      <c r="I157" s="2" t="inlineStr">
        <is>
          <t>Nguyen Quoc Nam</t>
        </is>
      </c>
      <c r="J157" s="2" t="inlineStr">
        <is>
          <t>Sprint 3</t>
        </is>
      </c>
      <c r="K157" s="2" t="inlineStr">
        <is>
          <t>24120098</t>
        </is>
      </c>
      <c r="L157" s="2" t="inlineStr">
        <is>
          <t>Nguyen Quoc Nam</t>
        </is>
      </c>
      <c r="M157" s="3" t="n">
        <v>46326</v>
      </c>
      <c r="N157" s="3" t="n">
        <v>46339</v>
      </c>
      <c r="O157" s="2" t="n">
        <v>2</v>
      </c>
      <c r="P157" s="2" t="inlineStr">
        <is>
          <t>ORIG-118</t>
        </is>
      </c>
      <c r="Q157" s="2" t="inlineStr">
        <is>
          <t>High</t>
        </is>
      </c>
      <c r="R157" s="2" t="inlineStr">
        <is>
          <t>Planned</t>
        </is>
      </c>
    </row>
    <row r="158">
      <c r="A158" s="2" t="inlineStr">
        <is>
          <t>Sub-task</t>
        </is>
      </c>
      <c r="B158" s="2" t="inlineStr">
        <is>
          <t>CIN-SUB-119</t>
        </is>
      </c>
      <c r="C158" s="2" t="inlineStr">
        <is>
          <t>CIN-T-021</t>
        </is>
      </c>
      <c r="D158" s="2" t="inlineStr">
        <is>
          <t>Kiểm tra thời gian phim</t>
        </is>
      </c>
      <c r="E158" s="2" t="inlineStr">
        <is>
          <t>PH-03</t>
        </is>
      </c>
      <c r="F158" s="2" t="inlineStr">
        <is>
          <t>Core Product Build</t>
        </is>
      </c>
      <c r="G158" s="2" t="inlineStr">
        <is>
          <t>CIN-T-021</t>
        </is>
      </c>
      <c r="H158" s="2" t="inlineStr">
        <is>
          <t>24120098</t>
        </is>
      </c>
      <c r="I158" s="2" t="inlineStr">
        <is>
          <t>Nguyen Quoc Nam</t>
        </is>
      </c>
      <c r="J158" s="2" t="inlineStr">
        <is>
          <t>Sprint 3</t>
        </is>
      </c>
      <c r="K158" s="2" t="inlineStr">
        <is>
          <t>24120244</t>
        </is>
      </c>
      <c r="L158" s="2" t="inlineStr">
        <is>
          <t>Phan Van Viet</t>
        </is>
      </c>
      <c r="M158" s="3" t="n">
        <v>46326</v>
      </c>
      <c r="N158" s="3" t="n">
        <v>46339</v>
      </c>
      <c r="O158" s="2" t="n">
        <v>2</v>
      </c>
      <c r="P158" s="2" t="inlineStr">
        <is>
          <t>ORIG-119</t>
        </is>
      </c>
      <c r="Q158" s="2" t="inlineStr">
        <is>
          <t>High</t>
        </is>
      </c>
      <c r="R158" s="2" t="inlineStr">
        <is>
          <t>Planned</t>
        </is>
      </c>
    </row>
    <row r="159">
      <c r="A159" s="2" t="inlineStr">
        <is>
          <t>Sub-task</t>
        </is>
      </c>
      <c r="B159" s="2" t="inlineStr">
        <is>
          <t>CIN-SUB-120</t>
        </is>
      </c>
      <c r="C159" s="2" t="inlineStr">
        <is>
          <t>CIN-T-021</t>
        </is>
      </c>
      <c r="D159" s="2" t="inlineStr">
        <is>
          <t>Kiểm tra trùng lịch</t>
        </is>
      </c>
      <c r="E159" s="2" t="inlineStr">
        <is>
          <t>PH-03</t>
        </is>
      </c>
      <c r="F159" s="2" t="inlineStr">
        <is>
          <t>Core Product Build</t>
        </is>
      </c>
      <c r="G159" s="2" t="inlineStr">
        <is>
          <t>CIN-T-021</t>
        </is>
      </c>
      <c r="H159" s="2" t="inlineStr">
        <is>
          <t>24120098</t>
        </is>
      </c>
      <c r="I159" s="2" t="inlineStr">
        <is>
          <t>Nguyen Quoc Nam</t>
        </is>
      </c>
      <c r="J159" s="2" t="inlineStr">
        <is>
          <t>Sprint 3</t>
        </is>
      </c>
      <c r="K159" s="2" t="inlineStr">
        <is>
          <t>24120255</t>
        </is>
      </c>
      <c r="L159" s="2" t="inlineStr">
        <is>
          <t>Tran Thien An</t>
        </is>
      </c>
      <c r="M159" s="3" t="n">
        <v>46326</v>
      </c>
      <c r="N159" s="3" t="n">
        <v>46339</v>
      </c>
      <c r="O159" s="2" t="n">
        <v>2</v>
      </c>
      <c r="P159" s="2" t="inlineStr">
        <is>
          <t>ORIG-120</t>
        </is>
      </c>
      <c r="Q159" s="2" t="inlineStr">
        <is>
          <t>High</t>
        </is>
      </c>
      <c r="R159" s="2" t="inlineStr">
        <is>
          <t>Planned</t>
        </is>
      </c>
    </row>
    <row r="160">
      <c r="A160" s="2" t="inlineStr">
        <is>
          <t>Sub-task</t>
        </is>
      </c>
      <c r="B160" s="2" t="inlineStr">
        <is>
          <t>CIN-SUB-121</t>
        </is>
      </c>
      <c r="C160" s="2" t="inlineStr">
        <is>
          <t>CIN-T-021</t>
        </is>
      </c>
      <c r="D160" s="2" t="inlineStr">
        <is>
          <t>Quản lý trạng thái Showtime</t>
        </is>
      </c>
      <c r="E160" s="2" t="inlineStr">
        <is>
          <t>PH-03</t>
        </is>
      </c>
      <c r="F160" s="2" t="inlineStr">
        <is>
          <t>Core Product Build</t>
        </is>
      </c>
      <c r="G160" s="2" t="inlineStr">
        <is>
          <t>CIN-T-021</t>
        </is>
      </c>
      <c r="H160" s="2" t="inlineStr">
        <is>
          <t>24120098</t>
        </is>
      </c>
      <c r="I160" s="2" t="inlineStr">
        <is>
          <t>Nguyen Quoc Nam</t>
        </is>
      </c>
      <c r="J160" s="2" t="inlineStr">
        <is>
          <t>Sprint 3</t>
        </is>
      </c>
      <c r="K160" s="2" t="inlineStr">
        <is>
          <t>24120235</t>
        </is>
      </c>
      <c r="L160" s="2" t="inlineStr">
        <is>
          <t>Huynh Thanh Tu</t>
        </is>
      </c>
      <c r="M160" s="3" t="n">
        <v>46326</v>
      </c>
      <c r="N160" s="3" t="n">
        <v>46339</v>
      </c>
      <c r="O160" s="2" t="n">
        <v>2</v>
      </c>
      <c r="P160" s="2" t="inlineStr">
        <is>
          <t>ORIG-121</t>
        </is>
      </c>
      <c r="Q160" s="2" t="inlineStr">
        <is>
          <t>High</t>
        </is>
      </c>
      <c r="R160" s="2" t="inlineStr">
        <is>
          <t>Planned</t>
        </is>
      </c>
    </row>
    <row r="161">
      <c r="A161" s="2" t="inlineStr">
        <is>
          <t>Sub-task</t>
        </is>
      </c>
      <c r="B161" s="2" t="inlineStr">
        <is>
          <t>CIN-SUB-122</t>
        </is>
      </c>
      <c r="C161" s="2" t="inlineStr">
        <is>
          <t>CIN-T-021</t>
        </is>
      </c>
      <c r="D161" s="2" t="inlineStr">
        <is>
          <t>Quản lý lịch chiếu</t>
        </is>
      </c>
      <c r="E161" s="2" t="inlineStr">
        <is>
          <t>PH-03</t>
        </is>
      </c>
      <c r="F161" s="2" t="inlineStr">
        <is>
          <t>Core Product Build</t>
        </is>
      </c>
      <c r="G161" s="2" t="inlineStr">
        <is>
          <t>CIN-T-021</t>
        </is>
      </c>
      <c r="H161" s="2" t="inlineStr">
        <is>
          <t>24120098</t>
        </is>
      </c>
      <c r="I161" s="2" t="inlineStr">
        <is>
          <t>Nguyen Quoc Nam</t>
        </is>
      </c>
      <c r="J161" s="2" t="inlineStr">
        <is>
          <t>Sprint 3</t>
        </is>
      </c>
      <c r="K161" s="2" t="inlineStr">
        <is>
          <t>24120098</t>
        </is>
      </c>
      <c r="L161" s="2" t="inlineStr">
        <is>
          <t>Nguyen Quoc Nam</t>
        </is>
      </c>
      <c r="M161" s="3" t="n">
        <v>46326</v>
      </c>
      <c r="N161" s="3" t="n">
        <v>46339</v>
      </c>
      <c r="O161" s="2" t="n">
        <v>2</v>
      </c>
      <c r="P161" s="2" t="inlineStr">
        <is>
          <t>ORIG-122</t>
        </is>
      </c>
      <c r="Q161" s="2" t="inlineStr">
        <is>
          <t>High</t>
        </is>
      </c>
      <c r="R161" s="2" t="inlineStr">
        <is>
          <t>Planned</t>
        </is>
      </c>
    </row>
    <row r="162">
      <c r="A162" s="6" t="inlineStr">
        <is>
          <t>Task</t>
        </is>
      </c>
      <c r="B162" s="6" t="inlineStr">
        <is>
          <t>CIN-T-022</t>
        </is>
      </c>
      <c r="C162" s="6" t="inlineStr">
        <is>
          <t>PH-03</t>
        </is>
      </c>
      <c r="D162" s="6" t="inlineStr">
        <is>
          <t>Triển khai chọn ghế, giữ chỗ và tạo booking an toàn</t>
        </is>
      </c>
      <c r="E162" s="6" t="inlineStr">
        <is>
          <t>PH-03</t>
        </is>
      </c>
      <c r="F162" s="6" t="inlineStr">
        <is>
          <t>Core Product Build</t>
        </is>
      </c>
      <c r="G162" s="6" t="inlineStr">
        <is>
          <t>CIN-T-022</t>
        </is>
      </c>
      <c r="H162" s="6" t="inlineStr">
        <is>
          <t>24120098</t>
        </is>
      </c>
      <c r="I162" s="6" t="inlineStr">
        <is>
          <t>Nguyen Quoc Nam</t>
        </is>
      </c>
      <c r="J162" s="6" t="inlineStr">
        <is>
          <t>Sprint 4</t>
        </is>
      </c>
      <c r="K162" s="6" t="inlineStr"/>
      <c r="L162" s="6" t="inlineStr"/>
      <c r="M162" s="7" t="n">
        <v>46340</v>
      </c>
      <c r="N162" s="7" t="n">
        <v>46353</v>
      </c>
      <c r="O162" s="6">
        <f>SUMIFS('Master Subtasks'!$V$2:$V$293,'Master Subtasks'!$L$2:$L$293,$B162)</f>
        <v/>
      </c>
      <c r="P162" s="6" t="inlineStr"/>
      <c r="Q162" s="6" t="inlineStr">
        <is>
          <t>High</t>
        </is>
      </c>
      <c r="R162" s="6" t="inlineStr">
        <is>
          <t>Planned</t>
        </is>
      </c>
    </row>
    <row r="163">
      <c r="A163" s="2" t="inlineStr">
        <is>
          <t>Sub-task</t>
        </is>
      </c>
      <c r="B163" s="2" t="inlineStr">
        <is>
          <t>CIN-SUB-123</t>
        </is>
      </c>
      <c r="C163" s="2" t="inlineStr">
        <is>
          <t>CIN-T-022</t>
        </is>
      </c>
      <c r="D163" s="2" t="inlineStr">
        <is>
          <t>Chọn ghế</t>
        </is>
      </c>
      <c r="E163" s="2" t="inlineStr">
        <is>
          <t>PH-03</t>
        </is>
      </c>
      <c r="F163" s="2" t="inlineStr">
        <is>
          <t>Core Product Build</t>
        </is>
      </c>
      <c r="G163" s="2" t="inlineStr">
        <is>
          <t>CIN-T-022</t>
        </is>
      </c>
      <c r="H163" s="2" t="inlineStr">
        <is>
          <t>24120098</t>
        </is>
      </c>
      <c r="I163" s="2" t="inlineStr">
        <is>
          <t>Nguyen Quoc Nam</t>
        </is>
      </c>
      <c r="J163" s="2" t="inlineStr">
        <is>
          <t>Sprint 4</t>
        </is>
      </c>
      <c r="K163" s="2" t="inlineStr">
        <is>
          <t>24120098</t>
        </is>
      </c>
      <c r="L163" s="2" t="inlineStr">
        <is>
          <t>Nguyen Quoc Nam</t>
        </is>
      </c>
      <c r="M163" s="3" t="n">
        <v>46340</v>
      </c>
      <c r="N163" s="3" t="n">
        <v>46353</v>
      </c>
      <c r="O163" s="2" t="n">
        <v>2</v>
      </c>
      <c r="P163" s="2" t="inlineStr">
        <is>
          <t>ORIG-123</t>
        </is>
      </c>
      <c r="Q163" s="2" t="inlineStr">
        <is>
          <t>High</t>
        </is>
      </c>
      <c r="R163" s="2" t="inlineStr">
        <is>
          <t>Planned</t>
        </is>
      </c>
    </row>
    <row r="164">
      <c r="A164" s="2" t="inlineStr">
        <is>
          <t>Sub-task</t>
        </is>
      </c>
      <c r="B164" s="2" t="inlineStr">
        <is>
          <t>CIN-SUB-124</t>
        </is>
      </c>
      <c r="C164" s="2" t="inlineStr">
        <is>
          <t>CIN-T-022</t>
        </is>
      </c>
      <c r="D164" s="2" t="inlineStr">
        <is>
          <t>Seat Availability</t>
        </is>
      </c>
      <c r="E164" s="2" t="inlineStr">
        <is>
          <t>PH-03</t>
        </is>
      </c>
      <c r="F164" s="2" t="inlineStr">
        <is>
          <t>Core Product Build</t>
        </is>
      </c>
      <c r="G164" s="2" t="inlineStr">
        <is>
          <t>CIN-T-022</t>
        </is>
      </c>
      <c r="H164" s="2" t="inlineStr">
        <is>
          <t>24120098</t>
        </is>
      </c>
      <c r="I164" s="2" t="inlineStr">
        <is>
          <t>Nguyen Quoc Nam</t>
        </is>
      </c>
      <c r="J164" s="2" t="inlineStr">
        <is>
          <t>Sprint 4</t>
        </is>
      </c>
      <c r="K164" s="2" t="inlineStr">
        <is>
          <t>24120098</t>
        </is>
      </c>
      <c r="L164" s="2" t="inlineStr">
        <is>
          <t>Nguyen Quoc Nam</t>
        </is>
      </c>
      <c r="M164" s="3" t="n">
        <v>46340</v>
      </c>
      <c r="N164" s="3" t="n">
        <v>46353</v>
      </c>
      <c r="O164" s="2" t="n">
        <v>2</v>
      </c>
      <c r="P164" s="2" t="inlineStr">
        <is>
          <t>ORIG-124</t>
        </is>
      </c>
      <c r="Q164" s="2" t="inlineStr">
        <is>
          <t>High</t>
        </is>
      </c>
      <c r="R164" s="2" t="inlineStr">
        <is>
          <t>Planned</t>
        </is>
      </c>
    </row>
    <row r="165">
      <c r="A165" s="2" t="inlineStr">
        <is>
          <t>Sub-task</t>
        </is>
      </c>
      <c r="B165" s="2" t="inlineStr">
        <is>
          <t>CIN-SUB-125</t>
        </is>
      </c>
      <c r="C165" s="2" t="inlineStr">
        <is>
          <t>CIN-T-022</t>
        </is>
      </c>
      <c r="D165" s="2" t="inlineStr">
        <is>
          <t>Giữ ghế</t>
        </is>
      </c>
      <c r="E165" s="2" t="inlineStr">
        <is>
          <t>PH-03</t>
        </is>
      </c>
      <c r="F165" s="2" t="inlineStr">
        <is>
          <t>Core Product Build</t>
        </is>
      </c>
      <c r="G165" s="2" t="inlineStr">
        <is>
          <t>CIN-T-022</t>
        </is>
      </c>
      <c r="H165" s="2" t="inlineStr">
        <is>
          <t>24120098</t>
        </is>
      </c>
      <c r="I165" s="2" t="inlineStr">
        <is>
          <t>Nguyen Quoc Nam</t>
        </is>
      </c>
      <c r="J165" s="2" t="inlineStr">
        <is>
          <t>Sprint 4</t>
        </is>
      </c>
      <c r="K165" s="2" t="inlineStr">
        <is>
          <t>24120271</t>
        </is>
      </c>
      <c r="L165" s="2" t="inlineStr">
        <is>
          <t>Nguyen Trung Chinh</t>
        </is>
      </c>
      <c r="M165" s="3" t="n">
        <v>46340</v>
      </c>
      <c r="N165" s="3" t="n">
        <v>46353</v>
      </c>
      <c r="O165" s="2" t="n">
        <v>2</v>
      </c>
      <c r="P165" s="2" t="inlineStr">
        <is>
          <t>ORIG-125</t>
        </is>
      </c>
      <c r="Q165" s="2" t="inlineStr">
        <is>
          <t>High</t>
        </is>
      </c>
      <c r="R165" s="2" t="inlineStr">
        <is>
          <t>Planned</t>
        </is>
      </c>
    </row>
    <row r="166">
      <c r="A166" s="2" t="inlineStr">
        <is>
          <t>Sub-task</t>
        </is>
      </c>
      <c r="B166" s="2" t="inlineStr">
        <is>
          <t>CIN-SUB-126</t>
        </is>
      </c>
      <c r="C166" s="2" t="inlineStr">
        <is>
          <t>CIN-T-022</t>
        </is>
      </c>
      <c r="D166" s="2" t="inlineStr">
        <is>
          <t>Tự động giải phóng ghế</t>
        </is>
      </c>
      <c r="E166" s="2" t="inlineStr">
        <is>
          <t>PH-03</t>
        </is>
      </c>
      <c r="F166" s="2" t="inlineStr">
        <is>
          <t>Core Product Build</t>
        </is>
      </c>
      <c r="G166" s="2" t="inlineStr">
        <is>
          <t>CIN-T-022</t>
        </is>
      </c>
      <c r="H166" s="2" t="inlineStr">
        <is>
          <t>24120098</t>
        </is>
      </c>
      <c r="I166" s="2" t="inlineStr">
        <is>
          <t>Nguyen Quoc Nam</t>
        </is>
      </c>
      <c r="J166" s="2" t="inlineStr">
        <is>
          <t>Sprint 4</t>
        </is>
      </c>
      <c r="K166" s="2" t="inlineStr">
        <is>
          <t>24120244</t>
        </is>
      </c>
      <c r="L166" s="2" t="inlineStr">
        <is>
          <t>Phan Van Viet</t>
        </is>
      </c>
      <c r="M166" s="3" t="n">
        <v>46340</v>
      </c>
      <c r="N166" s="3" t="n">
        <v>46353</v>
      </c>
      <c r="O166" s="2" t="n">
        <v>2</v>
      </c>
      <c r="P166" s="2" t="inlineStr">
        <is>
          <t>ORIG-126</t>
        </is>
      </c>
      <c r="Q166" s="2" t="inlineStr">
        <is>
          <t>High</t>
        </is>
      </c>
      <c r="R166" s="2" t="inlineStr">
        <is>
          <t>Planned</t>
        </is>
      </c>
    </row>
    <row r="167">
      <c r="A167" s="2" t="inlineStr">
        <is>
          <t>Sub-task</t>
        </is>
      </c>
      <c r="B167" s="2" t="inlineStr">
        <is>
          <t>CIN-SUB-127</t>
        </is>
      </c>
      <c r="C167" s="2" t="inlineStr">
        <is>
          <t>CIN-T-022</t>
        </is>
      </c>
      <c r="D167" s="2" t="inlineStr">
        <is>
          <t>Kiểm tra ghế khi Booking</t>
        </is>
      </c>
      <c r="E167" s="2" t="inlineStr">
        <is>
          <t>PH-03</t>
        </is>
      </c>
      <c r="F167" s="2" t="inlineStr">
        <is>
          <t>Core Product Build</t>
        </is>
      </c>
      <c r="G167" s="2" t="inlineStr">
        <is>
          <t>CIN-T-022</t>
        </is>
      </c>
      <c r="H167" s="2" t="inlineStr">
        <is>
          <t>24120098</t>
        </is>
      </c>
      <c r="I167" s="2" t="inlineStr">
        <is>
          <t>Nguyen Quoc Nam</t>
        </is>
      </c>
      <c r="J167" s="2" t="inlineStr">
        <is>
          <t>Sprint 4</t>
        </is>
      </c>
      <c r="K167" s="2" t="inlineStr">
        <is>
          <t>24120255</t>
        </is>
      </c>
      <c r="L167" s="2" t="inlineStr">
        <is>
          <t>Tran Thien An</t>
        </is>
      </c>
      <c r="M167" s="3" t="n">
        <v>46340</v>
      </c>
      <c r="N167" s="3" t="n">
        <v>46353</v>
      </c>
      <c r="O167" s="2" t="n">
        <v>3</v>
      </c>
      <c r="P167" s="2" t="inlineStr">
        <is>
          <t>ORIG-127</t>
        </is>
      </c>
      <c r="Q167" s="2" t="inlineStr">
        <is>
          <t>High</t>
        </is>
      </c>
      <c r="R167" s="2" t="inlineStr">
        <is>
          <t>Planned</t>
        </is>
      </c>
    </row>
    <row r="168">
      <c r="A168" s="2" t="inlineStr">
        <is>
          <t>Sub-task</t>
        </is>
      </c>
      <c r="B168" s="2" t="inlineStr">
        <is>
          <t>CIN-SUB-128</t>
        </is>
      </c>
      <c r="C168" s="2" t="inlineStr">
        <is>
          <t>CIN-T-022</t>
        </is>
      </c>
      <c r="D168" s="2" t="inlineStr">
        <is>
          <t>Tính tiền vé</t>
        </is>
      </c>
      <c r="E168" s="2" t="inlineStr">
        <is>
          <t>PH-03</t>
        </is>
      </c>
      <c r="F168" s="2" t="inlineStr">
        <is>
          <t>Core Product Build</t>
        </is>
      </c>
      <c r="G168" s="2" t="inlineStr">
        <is>
          <t>CIN-T-022</t>
        </is>
      </c>
      <c r="H168" s="2" t="inlineStr">
        <is>
          <t>24120098</t>
        </is>
      </c>
      <c r="I168" s="2" t="inlineStr">
        <is>
          <t>Nguyen Quoc Nam</t>
        </is>
      </c>
      <c r="J168" s="2" t="inlineStr">
        <is>
          <t>Sprint 4</t>
        </is>
      </c>
      <c r="K168" s="2" t="inlineStr">
        <is>
          <t>24120235</t>
        </is>
      </c>
      <c r="L168" s="2" t="inlineStr">
        <is>
          <t>Huynh Thanh Tu</t>
        </is>
      </c>
      <c r="M168" s="3" t="n">
        <v>46340</v>
      </c>
      <c r="N168" s="3" t="n">
        <v>46353</v>
      </c>
      <c r="O168" s="2" t="n">
        <v>2</v>
      </c>
      <c r="P168" s="2" t="inlineStr">
        <is>
          <t>ORIG-128</t>
        </is>
      </c>
      <c r="Q168" s="2" t="inlineStr">
        <is>
          <t>High</t>
        </is>
      </c>
      <c r="R168" s="2" t="inlineStr">
        <is>
          <t>Planned</t>
        </is>
      </c>
    </row>
    <row r="169">
      <c r="A169" s="2" t="inlineStr">
        <is>
          <t>Sub-task</t>
        </is>
      </c>
      <c r="B169" s="2" t="inlineStr">
        <is>
          <t>CIN-SUB-129</t>
        </is>
      </c>
      <c r="C169" s="2" t="inlineStr">
        <is>
          <t>CIN-T-022</t>
        </is>
      </c>
      <c r="D169" s="2" t="inlineStr">
        <is>
          <t>Tạo Booking</t>
        </is>
      </c>
      <c r="E169" s="2" t="inlineStr">
        <is>
          <t>PH-03</t>
        </is>
      </c>
      <c r="F169" s="2" t="inlineStr">
        <is>
          <t>Core Product Build</t>
        </is>
      </c>
      <c r="G169" s="2" t="inlineStr">
        <is>
          <t>CIN-T-022</t>
        </is>
      </c>
      <c r="H169" s="2" t="inlineStr">
        <is>
          <t>24120098</t>
        </is>
      </c>
      <c r="I169" s="2" t="inlineStr">
        <is>
          <t>Nguyen Quoc Nam</t>
        </is>
      </c>
      <c r="J169" s="2" t="inlineStr">
        <is>
          <t>Sprint 4</t>
        </is>
      </c>
      <c r="K169" s="2" t="inlineStr">
        <is>
          <t>24120098</t>
        </is>
      </c>
      <c r="L169" s="2" t="inlineStr">
        <is>
          <t>Nguyen Quoc Nam</t>
        </is>
      </c>
      <c r="M169" s="3" t="n">
        <v>46340</v>
      </c>
      <c r="N169" s="3" t="n">
        <v>46353</v>
      </c>
      <c r="O169" s="2" t="n">
        <v>3</v>
      </c>
      <c r="P169" s="2" t="inlineStr">
        <is>
          <t>ORIG-129</t>
        </is>
      </c>
      <c r="Q169" s="2" t="inlineStr">
        <is>
          <t>High</t>
        </is>
      </c>
      <c r="R169" s="2" t="inlineStr">
        <is>
          <t>Planned</t>
        </is>
      </c>
    </row>
    <row r="170">
      <c r="A170" s="2" t="inlineStr">
        <is>
          <t>Sub-task</t>
        </is>
      </c>
      <c r="B170" s="2" t="inlineStr">
        <is>
          <t>CIN-SUB-130</t>
        </is>
      </c>
      <c r="C170" s="2" t="inlineStr">
        <is>
          <t>CIN-T-022</t>
        </is>
      </c>
      <c r="D170" s="2" t="inlineStr">
        <is>
          <t>Booking Detail</t>
        </is>
      </c>
      <c r="E170" s="2" t="inlineStr">
        <is>
          <t>PH-03</t>
        </is>
      </c>
      <c r="F170" s="2" t="inlineStr">
        <is>
          <t>Core Product Build</t>
        </is>
      </c>
      <c r="G170" s="2" t="inlineStr">
        <is>
          <t>CIN-T-022</t>
        </is>
      </c>
      <c r="H170" s="2" t="inlineStr">
        <is>
          <t>24120098</t>
        </is>
      </c>
      <c r="I170" s="2" t="inlineStr">
        <is>
          <t>Nguyen Quoc Nam</t>
        </is>
      </c>
      <c r="J170" s="2" t="inlineStr">
        <is>
          <t>Sprint 4</t>
        </is>
      </c>
      <c r="K170" s="2" t="inlineStr">
        <is>
          <t>24120271</t>
        </is>
      </c>
      <c r="L170" s="2" t="inlineStr">
        <is>
          <t>Nguyen Trung Chinh</t>
        </is>
      </c>
      <c r="M170" s="3" t="n">
        <v>46340</v>
      </c>
      <c r="N170" s="3" t="n">
        <v>46353</v>
      </c>
      <c r="O170" s="2" t="n">
        <v>3</v>
      </c>
      <c r="P170" s="2" t="inlineStr">
        <is>
          <t>ORIG-130</t>
        </is>
      </c>
      <c r="Q170" s="2" t="inlineStr">
        <is>
          <t>High</t>
        </is>
      </c>
      <c r="R170" s="2" t="inlineStr">
        <is>
          <t>Planned</t>
        </is>
      </c>
    </row>
    <row r="171">
      <c r="A171" s="2" t="inlineStr">
        <is>
          <t>Sub-task</t>
        </is>
      </c>
      <c r="B171" s="2" t="inlineStr">
        <is>
          <t>CIN-SUB-131</t>
        </is>
      </c>
      <c r="C171" s="2" t="inlineStr">
        <is>
          <t>CIN-T-022</t>
        </is>
      </c>
      <c r="D171" s="2" t="inlineStr">
        <is>
          <t>Transaction Booking</t>
        </is>
      </c>
      <c r="E171" s="2" t="inlineStr">
        <is>
          <t>PH-03</t>
        </is>
      </c>
      <c r="F171" s="2" t="inlineStr">
        <is>
          <t>Core Product Build</t>
        </is>
      </c>
      <c r="G171" s="2" t="inlineStr">
        <is>
          <t>CIN-T-022</t>
        </is>
      </c>
      <c r="H171" s="2" t="inlineStr">
        <is>
          <t>24120098</t>
        </is>
      </c>
      <c r="I171" s="2" t="inlineStr">
        <is>
          <t>Nguyen Quoc Nam</t>
        </is>
      </c>
      <c r="J171" s="2" t="inlineStr">
        <is>
          <t>Sprint 4</t>
        </is>
      </c>
      <c r="K171" s="2" t="inlineStr">
        <is>
          <t>24120244</t>
        </is>
      </c>
      <c r="L171" s="2" t="inlineStr">
        <is>
          <t>Phan Van Viet</t>
        </is>
      </c>
      <c r="M171" s="3" t="n">
        <v>46340</v>
      </c>
      <c r="N171" s="3" t="n">
        <v>46353</v>
      </c>
      <c r="O171" s="2" t="n">
        <v>3</v>
      </c>
      <c r="P171" s="2" t="inlineStr">
        <is>
          <t>ORIG-131</t>
        </is>
      </c>
      <c r="Q171" s="2" t="inlineStr">
        <is>
          <t>High</t>
        </is>
      </c>
      <c r="R171" s="2" t="inlineStr">
        <is>
          <t>Planned</t>
        </is>
      </c>
    </row>
    <row r="172">
      <c r="A172" s="2" t="inlineStr">
        <is>
          <t>Sub-task</t>
        </is>
      </c>
      <c r="B172" s="2" t="inlineStr">
        <is>
          <t>CIN-SUB-132</t>
        </is>
      </c>
      <c r="C172" s="2" t="inlineStr">
        <is>
          <t>CIN-T-022</t>
        </is>
      </c>
      <c r="D172" s="2" t="inlineStr">
        <is>
          <t>Concurrency Control</t>
        </is>
      </c>
      <c r="E172" s="2" t="inlineStr">
        <is>
          <t>PH-03</t>
        </is>
      </c>
      <c r="F172" s="2" t="inlineStr">
        <is>
          <t>Core Product Build</t>
        </is>
      </c>
      <c r="G172" s="2" t="inlineStr">
        <is>
          <t>CIN-T-022</t>
        </is>
      </c>
      <c r="H172" s="2" t="inlineStr">
        <is>
          <t>24120098</t>
        </is>
      </c>
      <c r="I172" s="2" t="inlineStr">
        <is>
          <t>Nguyen Quoc Nam</t>
        </is>
      </c>
      <c r="J172" s="2" t="inlineStr">
        <is>
          <t>Sprint 4</t>
        </is>
      </c>
      <c r="K172" s="2" t="inlineStr">
        <is>
          <t>24120235</t>
        </is>
      </c>
      <c r="L172" s="2" t="inlineStr">
        <is>
          <t>Huynh Thanh Tu</t>
        </is>
      </c>
      <c r="M172" s="3" t="n">
        <v>46340</v>
      </c>
      <c r="N172" s="3" t="n">
        <v>46353</v>
      </c>
      <c r="O172" s="2" t="n">
        <v>3</v>
      </c>
      <c r="P172" s="2" t="inlineStr">
        <is>
          <t>ORIG-132</t>
        </is>
      </c>
      <c r="Q172" s="2" t="inlineStr">
        <is>
          <t>High</t>
        </is>
      </c>
      <c r="R172" s="2" t="inlineStr">
        <is>
          <t>Planned</t>
        </is>
      </c>
    </row>
    <row r="173">
      <c r="A173" s="6" t="inlineStr">
        <is>
          <t>Task</t>
        </is>
      </c>
      <c r="B173" s="6" t="inlineStr">
        <is>
          <t>CIN-T-023</t>
        </is>
      </c>
      <c r="C173" s="6" t="inlineStr">
        <is>
          <t>PH-03</t>
        </is>
      </c>
      <c r="D173" s="6" t="inlineStr">
        <is>
          <t>Triển khai thanh toán mô phỏng và trạng thái giao dịch</t>
        </is>
      </c>
      <c r="E173" s="6" t="inlineStr">
        <is>
          <t>PH-03</t>
        </is>
      </c>
      <c r="F173" s="6" t="inlineStr">
        <is>
          <t>Core Product Build</t>
        </is>
      </c>
      <c r="G173" s="6" t="inlineStr">
        <is>
          <t>CIN-T-023</t>
        </is>
      </c>
      <c r="H173" s="6" t="inlineStr">
        <is>
          <t>24120255</t>
        </is>
      </c>
      <c r="I173" s="6" t="inlineStr">
        <is>
          <t>Tran Thien An</t>
        </is>
      </c>
      <c r="J173" s="6" t="inlineStr">
        <is>
          <t>Sprint 4</t>
        </is>
      </c>
      <c r="K173" s="6" t="inlineStr"/>
      <c r="L173" s="6" t="inlineStr"/>
      <c r="M173" s="7" t="n">
        <v>46340</v>
      </c>
      <c r="N173" s="7" t="n">
        <v>46353</v>
      </c>
      <c r="O173" s="6">
        <f>SUMIFS('Master Subtasks'!$V$2:$V$293,'Master Subtasks'!$L$2:$L$293,$B173)</f>
        <v/>
      </c>
      <c r="P173" s="6" t="inlineStr"/>
      <c r="Q173" s="6" t="inlineStr">
        <is>
          <t>High</t>
        </is>
      </c>
      <c r="R173" s="6" t="inlineStr">
        <is>
          <t>Planned</t>
        </is>
      </c>
    </row>
    <row r="174">
      <c r="A174" s="2" t="inlineStr">
        <is>
          <t>Sub-task</t>
        </is>
      </c>
      <c r="B174" s="2" t="inlineStr">
        <is>
          <t>CIN-SUB-133</t>
        </is>
      </c>
      <c r="C174" s="2" t="inlineStr">
        <is>
          <t>CIN-T-023</t>
        </is>
      </c>
      <c r="D174" s="2" t="inlineStr">
        <is>
          <t>Thiết kế Payment Flow</t>
        </is>
      </c>
      <c r="E174" s="2" t="inlineStr">
        <is>
          <t>PH-03</t>
        </is>
      </c>
      <c r="F174" s="2" t="inlineStr">
        <is>
          <t>Core Product Build</t>
        </is>
      </c>
      <c r="G174" s="2" t="inlineStr">
        <is>
          <t>CIN-T-023</t>
        </is>
      </c>
      <c r="H174" s="2" t="inlineStr">
        <is>
          <t>24120255</t>
        </is>
      </c>
      <c r="I174" s="2" t="inlineStr">
        <is>
          <t>Tran Thien An</t>
        </is>
      </c>
      <c r="J174" s="2" t="inlineStr">
        <is>
          <t>Sprint 4</t>
        </is>
      </c>
      <c r="K174" s="2" t="inlineStr">
        <is>
          <t>24120255</t>
        </is>
      </c>
      <c r="L174" s="2" t="inlineStr">
        <is>
          <t>Tran Thien An</t>
        </is>
      </c>
      <c r="M174" s="3" t="n">
        <v>46340</v>
      </c>
      <c r="N174" s="3" t="n">
        <v>46353</v>
      </c>
      <c r="O174" s="2" t="n">
        <v>3</v>
      </c>
      <c r="P174" s="2" t="inlineStr">
        <is>
          <t>ORIG-133</t>
        </is>
      </c>
      <c r="Q174" s="2" t="inlineStr">
        <is>
          <t>High</t>
        </is>
      </c>
      <c r="R174" s="2" t="inlineStr">
        <is>
          <t>Planned</t>
        </is>
      </c>
    </row>
    <row r="175">
      <c r="A175" s="2" t="inlineStr">
        <is>
          <t>Sub-task</t>
        </is>
      </c>
      <c r="B175" s="2" t="inlineStr">
        <is>
          <t>CIN-SUB-134</t>
        </is>
      </c>
      <c r="C175" s="2" t="inlineStr">
        <is>
          <t>CIN-T-023</t>
        </is>
      </c>
      <c r="D175" s="2" t="inlineStr">
        <is>
          <t>Tích hợp Payment Gateway</t>
        </is>
      </c>
      <c r="E175" s="2" t="inlineStr">
        <is>
          <t>PH-03</t>
        </is>
      </c>
      <c r="F175" s="2" t="inlineStr">
        <is>
          <t>Core Product Build</t>
        </is>
      </c>
      <c r="G175" s="2" t="inlineStr">
        <is>
          <t>CIN-T-023</t>
        </is>
      </c>
      <c r="H175" s="2" t="inlineStr">
        <is>
          <t>24120255</t>
        </is>
      </c>
      <c r="I175" s="2" t="inlineStr">
        <is>
          <t>Tran Thien An</t>
        </is>
      </c>
      <c r="J175" s="2" t="inlineStr">
        <is>
          <t>Sprint 4</t>
        </is>
      </c>
      <c r="K175" s="2" t="inlineStr">
        <is>
          <t>24120098</t>
        </is>
      </c>
      <c r="L175" s="2" t="inlineStr">
        <is>
          <t>Nguyen Quoc Nam</t>
        </is>
      </c>
      <c r="M175" s="3" t="n">
        <v>46340</v>
      </c>
      <c r="N175" s="3" t="n">
        <v>46353</v>
      </c>
      <c r="O175" s="2" t="n">
        <v>2</v>
      </c>
      <c r="P175" s="2" t="inlineStr">
        <is>
          <t>ORIG-134</t>
        </is>
      </c>
      <c r="Q175" s="2" t="inlineStr">
        <is>
          <t>High</t>
        </is>
      </c>
      <c r="R175" s="2" t="inlineStr">
        <is>
          <t>Planned</t>
        </is>
      </c>
    </row>
    <row r="176">
      <c r="A176" s="2" t="inlineStr">
        <is>
          <t>Sub-task</t>
        </is>
      </c>
      <c r="B176" s="2" t="inlineStr">
        <is>
          <t>CIN-SUB-135</t>
        </is>
      </c>
      <c r="C176" s="2" t="inlineStr">
        <is>
          <t>CIN-T-023</t>
        </is>
      </c>
      <c r="D176" s="2" t="inlineStr">
        <is>
          <t>Payment Callback / Webhook</t>
        </is>
      </c>
      <c r="E176" s="2" t="inlineStr">
        <is>
          <t>PH-03</t>
        </is>
      </c>
      <c r="F176" s="2" t="inlineStr">
        <is>
          <t>Core Product Build</t>
        </is>
      </c>
      <c r="G176" s="2" t="inlineStr">
        <is>
          <t>CIN-T-023</t>
        </is>
      </c>
      <c r="H176" s="2" t="inlineStr">
        <is>
          <t>24120255</t>
        </is>
      </c>
      <c r="I176" s="2" t="inlineStr">
        <is>
          <t>Tran Thien An</t>
        </is>
      </c>
      <c r="J176" s="2" t="inlineStr">
        <is>
          <t>Sprint 4</t>
        </is>
      </c>
      <c r="K176" s="2" t="inlineStr">
        <is>
          <t>24120271</t>
        </is>
      </c>
      <c r="L176" s="2" t="inlineStr">
        <is>
          <t>Nguyen Trung Chinh</t>
        </is>
      </c>
      <c r="M176" s="3" t="n">
        <v>46340</v>
      </c>
      <c r="N176" s="3" t="n">
        <v>46353</v>
      </c>
      <c r="O176" s="2" t="n">
        <v>3</v>
      </c>
      <c r="P176" s="2" t="inlineStr">
        <is>
          <t>ORIG-135</t>
        </is>
      </c>
      <c r="Q176" s="2" t="inlineStr">
        <is>
          <t>High</t>
        </is>
      </c>
      <c r="R176" s="2" t="inlineStr">
        <is>
          <t>Planned</t>
        </is>
      </c>
    </row>
    <row r="177">
      <c r="A177" s="2" t="inlineStr">
        <is>
          <t>Sub-task</t>
        </is>
      </c>
      <c r="B177" s="2" t="inlineStr">
        <is>
          <t>CIN-SUB-136</t>
        </is>
      </c>
      <c r="C177" s="2" t="inlineStr">
        <is>
          <t>CIN-T-023</t>
        </is>
      </c>
      <c r="D177" s="2" t="inlineStr">
        <is>
          <t>Xác thực giao dịch</t>
        </is>
      </c>
      <c r="E177" s="2" t="inlineStr">
        <is>
          <t>PH-03</t>
        </is>
      </c>
      <c r="F177" s="2" t="inlineStr">
        <is>
          <t>Core Product Build</t>
        </is>
      </c>
      <c r="G177" s="2" t="inlineStr">
        <is>
          <t>CIN-T-023</t>
        </is>
      </c>
      <c r="H177" s="2" t="inlineStr">
        <is>
          <t>24120255</t>
        </is>
      </c>
      <c r="I177" s="2" t="inlineStr">
        <is>
          <t>Tran Thien An</t>
        </is>
      </c>
      <c r="J177" s="2" t="inlineStr">
        <is>
          <t>Sprint 4</t>
        </is>
      </c>
      <c r="K177" s="2" t="inlineStr">
        <is>
          <t>24120244</t>
        </is>
      </c>
      <c r="L177" s="2" t="inlineStr">
        <is>
          <t>Phan Van Viet</t>
        </is>
      </c>
      <c r="M177" s="3" t="n">
        <v>46340</v>
      </c>
      <c r="N177" s="3" t="n">
        <v>46353</v>
      </c>
      <c r="O177" s="2" t="n">
        <v>3</v>
      </c>
      <c r="P177" s="2" t="inlineStr">
        <is>
          <t>ORIG-136</t>
        </is>
      </c>
      <c r="Q177" s="2" t="inlineStr">
        <is>
          <t>High</t>
        </is>
      </c>
      <c r="R177" s="2" t="inlineStr">
        <is>
          <t>Planned</t>
        </is>
      </c>
    </row>
    <row r="178">
      <c r="A178" s="2" t="inlineStr">
        <is>
          <t>Sub-task</t>
        </is>
      </c>
      <c r="B178" s="2" t="inlineStr">
        <is>
          <t>CIN-SUB-137</t>
        </is>
      </c>
      <c r="C178" s="2" t="inlineStr">
        <is>
          <t>CIN-T-023</t>
        </is>
      </c>
      <c r="D178" s="2" t="inlineStr">
        <is>
          <t>Payment Status</t>
        </is>
      </c>
      <c r="E178" s="2" t="inlineStr">
        <is>
          <t>PH-03</t>
        </is>
      </c>
      <c r="F178" s="2" t="inlineStr">
        <is>
          <t>Core Product Build</t>
        </is>
      </c>
      <c r="G178" s="2" t="inlineStr">
        <is>
          <t>CIN-T-023</t>
        </is>
      </c>
      <c r="H178" s="2" t="inlineStr">
        <is>
          <t>24120255</t>
        </is>
      </c>
      <c r="I178" s="2" t="inlineStr">
        <is>
          <t>Tran Thien An</t>
        </is>
      </c>
      <c r="J178" s="2" t="inlineStr">
        <is>
          <t>Sprint 4</t>
        </is>
      </c>
      <c r="K178" s="2" t="inlineStr">
        <is>
          <t>24120235</t>
        </is>
      </c>
      <c r="L178" s="2" t="inlineStr">
        <is>
          <t>Huynh Thanh Tu</t>
        </is>
      </c>
      <c r="M178" s="3" t="n">
        <v>46340</v>
      </c>
      <c r="N178" s="3" t="n">
        <v>46353</v>
      </c>
      <c r="O178" s="2" t="n">
        <v>3</v>
      </c>
      <c r="P178" s="2" t="inlineStr">
        <is>
          <t>ORIG-137</t>
        </is>
      </c>
      <c r="Q178" s="2" t="inlineStr">
        <is>
          <t>High</t>
        </is>
      </c>
      <c r="R178" s="2" t="inlineStr">
        <is>
          <t>Planned</t>
        </is>
      </c>
    </row>
    <row r="179">
      <c r="A179" s="2" t="inlineStr">
        <is>
          <t>Sub-task</t>
        </is>
      </c>
      <c r="B179" s="2" t="inlineStr">
        <is>
          <t>CIN-SUB-138</t>
        </is>
      </c>
      <c r="C179" s="2" t="inlineStr">
        <is>
          <t>CIN-T-023</t>
        </is>
      </c>
      <c r="D179" s="2" t="inlineStr">
        <is>
          <t>Payment Timeout</t>
        </is>
      </c>
      <c r="E179" s="2" t="inlineStr">
        <is>
          <t>PH-03</t>
        </is>
      </c>
      <c r="F179" s="2" t="inlineStr">
        <is>
          <t>Core Product Build</t>
        </is>
      </c>
      <c r="G179" s="2" t="inlineStr">
        <is>
          <t>CIN-T-023</t>
        </is>
      </c>
      <c r="H179" s="2" t="inlineStr">
        <is>
          <t>24120255</t>
        </is>
      </c>
      <c r="I179" s="2" t="inlineStr">
        <is>
          <t>Tran Thien An</t>
        </is>
      </c>
      <c r="J179" s="2" t="inlineStr">
        <is>
          <t>Sprint 4</t>
        </is>
      </c>
      <c r="K179" s="2" t="inlineStr">
        <is>
          <t>24120255</t>
        </is>
      </c>
      <c r="L179" s="2" t="inlineStr">
        <is>
          <t>Tran Thien An</t>
        </is>
      </c>
      <c r="M179" s="3" t="n">
        <v>46340</v>
      </c>
      <c r="N179" s="3" t="n">
        <v>46353</v>
      </c>
      <c r="O179" s="2" t="n">
        <v>3</v>
      </c>
      <c r="P179" s="2" t="inlineStr">
        <is>
          <t>ORIG-138</t>
        </is>
      </c>
      <c r="Q179" s="2" t="inlineStr">
        <is>
          <t>High</t>
        </is>
      </c>
      <c r="R179" s="2" t="inlineStr">
        <is>
          <t>Planned</t>
        </is>
      </c>
    </row>
    <row r="180">
      <c r="A180" s="2" t="inlineStr">
        <is>
          <t>Sub-task</t>
        </is>
      </c>
      <c r="B180" s="2" t="inlineStr">
        <is>
          <t>CIN-SUB-139</t>
        </is>
      </c>
      <c r="C180" s="2" t="inlineStr">
        <is>
          <t>CIN-T-023</t>
        </is>
      </c>
      <c r="D180" s="2" t="inlineStr">
        <is>
          <t>Refund</t>
        </is>
      </c>
      <c r="E180" s="2" t="inlineStr">
        <is>
          <t>PH-03</t>
        </is>
      </c>
      <c r="F180" s="2" t="inlineStr">
        <is>
          <t>Core Product Build</t>
        </is>
      </c>
      <c r="G180" s="2" t="inlineStr">
        <is>
          <t>CIN-T-023</t>
        </is>
      </c>
      <c r="H180" s="2" t="inlineStr">
        <is>
          <t>24120255</t>
        </is>
      </c>
      <c r="I180" s="2" t="inlineStr">
        <is>
          <t>Tran Thien An</t>
        </is>
      </c>
      <c r="J180" s="2" t="inlineStr">
        <is>
          <t>Sprint 4</t>
        </is>
      </c>
      <c r="K180" s="2" t="inlineStr">
        <is>
          <t>24120098</t>
        </is>
      </c>
      <c r="L180" s="2" t="inlineStr">
        <is>
          <t>Nguyen Quoc Nam</t>
        </is>
      </c>
      <c r="M180" s="3" t="n">
        <v>46340</v>
      </c>
      <c r="N180" s="3" t="n">
        <v>46353</v>
      </c>
      <c r="O180" s="2" t="n">
        <v>2</v>
      </c>
      <c r="P180" s="2" t="inlineStr">
        <is>
          <t>ORIG-139</t>
        </is>
      </c>
      <c r="Q180" s="2" t="inlineStr">
        <is>
          <t>High</t>
        </is>
      </c>
      <c r="R180" s="2" t="inlineStr">
        <is>
          <t>Planned</t>
        </is>
      </c>
    </row>
    <row r="181">
      <c r="A181" s="6" t="inlineStr">
        <is>
          <t>Task</t>
        </is>
      </c>
      <c r="B181" s="6" t="inlineStr">
        <is>
          <t>CIN-T-024</t>
        </is>
      </c>
      <c r="C181" s="6" t="inlineStr">
        <is>
          <t>PH-03</t>
        </is>
      </c>
      <c r="D181" s="6" t="inlineStr">
        <is>
          <t>Phát hành, tạo mã/QR và xác thực vé</t>
        </is>
      </c>
      <c r="E181" s="6" t="inlineStr">
        <is>
          <t>PH-03</t>
        </is>
      </c>
      <c r="F181" s="6" t="inlineStr">
        <is>
          <t>Core Product Build</t>
        </is>
      </c>
      <c r="G181" s="6" t="inlineStr">
        <is>
          <t>CIN-T-024</t>
        </is>
      </c>
      <c r="H181" s="6" t="inlineStr">
        <is>
          <t>24120271</t>
        </is>
      </c>
      <c r="I181" s="6" t="inlineStr">
        <is>
          <t>Nguyen Trung Chinh</t>
        </is>
      </c>
      <c r="J181" s="6" t="inlineStr">
        <is>
          <t>Sprint 4</t>
        </is>
      </c>
      <c r="K181" s="6" t="inlineStr"/>
      <c r="L181" s="6" t="inlineStr"/>
      <c r="M181" s="7" t="n">
        <v>46340</v>
      </c>
      <c r="N181" s="7" t="n">
        <v>46353</v>
      </c>
      <c r="O181" s="6">
        <f>SUMIFS('Master Subtasks'!$V$2:$V$293,'Master Subtasks'!$L$2:$L$293,$B181)</f>
        <v/>
      </c>
      <c r="P181" s="6" t="inlineStr"/>
      <c r="Q181" s="6" t="inlineStr">
        <is>
          <t>High</t>
        </is>
      </c>
      <c r="R181" s="6" t="inlineStr">
        <is>
          <t>Planned</t>
        </is>
      </c>
    </row>
    <row r="182">
      <c r="A182" s="2" t="inlineStr">
        <is>
          <t>Sub-task</t>
        </is>
      </c>
      <c r="B182" s="2" t="inlineStr">
        <is>
          <t>CIN-SUB-140</t>
        </is>
      </c>
      <c r="C182" s="2" t="inlineStr">
        <is>
          <t>CIN-T-024</t>
        </is>
      </c>
      <c r="D182" s="2" t="inlineStr">
        <is>
          <t>Phát hành Ticket</t>
        </is>
      </c>
      <c r="E182" s="2" t="inlineStr">
        <is>
          <t>PH-03</t>
        </is>
      </c>
      <c r="F182" s="2" t="inlineStr">
        <is>
          <t>Core Product Build</t>
        </is>
      </c>
      <c r="G182" s="2" t="inlineStr">
        <is>
          <t>CIN-T-024</t>
        </is>
      </c>
      <c r="H182" s="2" t="inlineStr">
        <is>
          <t>24120271</t>
        </is>
      </c>
      <c r="I182" s="2" t="inlineStr">
        <is>
          <t>Nguyen Trung Chinh</t>
        </is>
      </c>
      <c r="J182" s="2" t="inlineStr">
        <is>
          <t>Sprint 4</t>
        </is>
      </c>
      <c r="K182" s="2" t="inlineStr">
        <is>
          <t>24120271</t>
        </is>
      </c>
      <c r="L182" s="2" t="inlineStr">
        <is>
          <t>Nguyen Trung Chinh</t>
        </is>
      </c>
      <c r="M182" s="3" t="n">
        <v>46340</v>
      </c>
      <c r="N182" s="3" t="n">
        <v>46353</v>
      </c>
      <c r="O182" s="2" t="n">
        <v>3</v>
      </c>
      <c r="P182" s="2" t="inlineStr">
        <is>
          <t>ORIG-140</t>
        </is>
      </c>
      <c r="Q182" s="2" t="inlineStr">
        <is>
          <t>High</t>
        </is>
      </c>
      <c r="R182" s="2" t="inlineStr">
        <is>
          <t>Planned</t>
        </is>
      </c>
    </row>
    <row r="183">
      <c r="A183" s="2" t="inlineStr">
        <is>
          <t>Sub-task</t>
        </is>
      </c>
      <c r="B183" s="2" t="inlineStr">
        <is>
          <t>CIN-SUB-141</t>
        </is>
      </c>
      <c r="C183" s="2" t="inlineStr">
        <is>
          <t>CIN-T-024</t>
        </is>
      </c>
      <c r="D183" s="2" t="inlineStr">
        <is>
          <t>Generate Ticket Code</t>
        </is>
      </c>
      <c r="E183" s="2" t="inlineStr">
        <is>
          <t>PH-03</t>
        </is>
      </c>
      <c r="F183" s="2" t="inlineStr">
        <is>
          <t>Core Product Build</t>
        </is>
      </c>
      <c r="G183" s="2" t="inlineStr">
        <is>
          <t>CIN-T-024</t>
        </is>
      </c>
      <c r="H183" s="2" t="inlineStr">
        <is>
          <t>24120271</t>
        </is>
      </c>
      <c r="I183" s="2" t="inlineStr">
        <is>
          <t>Nguyen Trung Chinh</t>
        </is>
      </c>
      <c r="J183" s="2" t="inlineStr">
        <is>
          <t>Sprint 4</t>
        </is>
      </c>
      <c r="K183" s="2" t="inlineStr">
        <is>
          <t>24120244</t>
        </is>
      </c>
      <c r="L183" s="2" t="inlineStr">
        <is>
          <t>Phan Van Viet</t>
        </is>
      </c>
      <c r="M183" s="3" t="n">
        <v>46340</v>
      </c>
      <c r="N183" s="3" t="n">
        <v>46353</v>
      </c>
      <c r="O183" s="2" t="n">
        <v>3</v>
      </c>
      <c r="P183" s="2" t="inlineStr">
        <is>
          <t>ORIG-141</t>
        </is>
      </c>
      <c r="Q183" s="2" t="inlineStr">
        <is>
          <t>High</t>
        </is>
      </c>
      <c r="R183" s="2" t="inlineStr">
        <is>
          <t>Planned</t>
        </is>
      </c>
    </row>
    <row r="184">
      <c r="A184" s="2" t="inlineStr">
        <is>
          <t>Sub-task</t>
        </is>
      </c>
      <c r="B184" s="2" t="inlineStr">
        <is>
          <t>CIN-SUB-142</t>
        </is>
      </c>
      <c r="C184" s="2" t="inlineStr">
        <is>
          <t>CIN-T-024</t>
        </is>
      </c>
      <c r="D184" s="2" t="inlineStr">
        <is>
          <t>Generate QR Code</t>
        </is>
      </c>
      <c r="E184" s="2" t="inlineStr">
        <is>
          <t>PH-03</t>
        </is>
      </c>
      <c r="F184" s="2" t="inlineStr">
        <is>
          <t>Core Product Build</t>
        </is>
      </c>
      <c r="G184" s="2" t="inlineStr">
        <is>
          <t>CIN-T-024</t>
        </is>
      </c>
      <c r="H184" s="2" t="inlineStr">
        <is>
          <t>24120271</t>
        </is>
      </c>
      <c r="I184" s="2" t="inlineStr">
        <is>
          <t>Nguyen Trung Chinh</t>
        </is>
      </c>
      <c r="J184" s="2" t="inlineStr">
        <is>
          <t>Sprint 4</t>
        </is>
      </c>
      <c r="K184" s="2" t="inlineStr">
        <is>
          <t>24120235</t>
        </is>
      </c>
      <c r="L184" s="2" t="inlineStr">
        <is>
          <t>Huynh Thanh Tu</t>
        </is>
      </c>
      <c r="M184" s="3" t="n">
        <v>46340</v>
      </c>
      <c r="N184" s="3" t="n">
        <v>46353</v>
      </c>
      <c r="O184" s="2" t="n">
        <v>2</v>
      </c>
      <c r="P184" s="2" t="inlineStr">
        <is>
          <t>ORIG-142</t>
        </is>
      </c>
      <c r="Q184" s="2" t="inlineStr">
        <is>
          <t>High</t>
        </is>
      </c>
      <c r="R184" s="2" t="inlineStr">
        <is>
          <t>Planned</t>
        </is>
      </c>
    </row>
    <row r="185">
      <c r="A185" s="2" t="inlineStr">
        <is>
          <t>Sub-task</t>
        </is>
      </c>
      <c r="B185" s="2" t="inlineStr">
        <is>
          <t>CIN-SUB-143</t>
        </is>
      </c>
      <c r="C185" s="2" t="inlineStr">
        <is>
          <t>CIN-T-024</t>
        </is>
      </c>
      <c r="D185" s="2" t="inlineStr">
        <is>
          <t>Ticket Validation</t>
        </is>
      </c>
      <c r="E185" s="2" t="inlineStr">
        <is>
          <t>PH-03</t>
        </is>
      </c>
      <c r="F185" s="2" t="inlineStr">
        <is>
          <t>Core Product Build</t>
        </is>
      </c>
      <c r="G185" s="2" t="inlineStr">
        <is>
          <t>CIN-T-024</t>
        </is>
      </c>
      <c r="H185" s="2" t="inlineStr">
        <is>
          <t>24120271</t>
        </is>
      </c>
      <c r="I185" s="2" t="inlineStr">
        <is>
          <t>Nguyen Trung Chinh</t>
        </is>
      </c>
      <c r="J185" s="2" t="inlineStr">
        <is>
          <t>Sprint 4</t>
        </is>
      </c>
      <c r="K185" s="2" t="inlineStr">
        <is>
          <t>24120098</t>
        </is>
      </c>
      <c r="L185" s="2" t="inlineStr">
        <is>
          <t>Nguyen Quoc Nam</t>
        </is>
      </c>
      <c r="M185" s="3" t="n">
        <v>46340</v>
      </c>
      <c r="N185" s="3" t="n">
        <v>46353</v>
      </c>
      <c r="O185" s="2" t="n">
        <v>3</v>
      </c>
      <c r="P185" s="2" t="inlineStr">
        <is>
          <t>ORIG-143</t>
        </is>
      </c>
      <c r="Q185" s="2" t="inlineStr">
        <is>
          <t>High</t>
        </is>
      </c>
      <c r="R185" s="2" t="inlineStr">
        <is>
          <t>Planned</t>
        </is>
      </c>
    </row>
    <row r="186">
      <c r="A186" s="2" t="inlineStr">
        <is>
          <t>Sub-task</t>
        </is>
      </c>
      <c r="B186" s="2" t="inlineStr">
        <is>
          <t>CIN-SUB-144</t>
        </is>
      </c>
      <c r="C186" s="2" t="inlineStr">
        <is>
          <t>CIN-T-024</t>
        </is>
      </c>
      <c r="D186" s="2" t="inlineStr">
        <is>
          <t>Ticket Status</t>
        </is>
      </c>
      <c r="E186" s="2" t="inlineStr">
        <is>
          <t>PH-03</t>
        </is>
      </c>
      <c r="F186" s="2" t="inlineStr">
        <is>
          <t>Core Product Build</t>
        </is>
      </c>
      <c r="G186" s="2" t="inlineStr">
        <is>
          <t>CIN-T-024</t>
        </is>
      </c>
      <c r="H186" s="2" t="inlineStr">
        <is>
          <t>24120271</t>
        </is>
      </c>
      <c r="I186" s="2" t="inlineStr">
        <is>
          <t>Nguyen Trung Chinh</t>
        </is>
      </c>
      <c r="J186" s="2" t="inlineStr">
        <is>
          <t>Sprint 4</t>
        </is>
      </c>
      <c r="K186" s="2" t="inlineStr">
        <is>
          <t>24120255</t>
        </is>
      </c>
      <c r="L186" s="2" t="inlineStr">
        <is>
          <t>Tran Thien An</t>
        </is>
      </c>
      <c r="M186" s="3" t="n">
        <v>46340</v>
      </c>
      <c r="N186" s="3" t="n">
        <v>46353</v>
      </c>
      <c r="O186" s="2" t="n">
        <v>3</v>
      </c>
      <c r="P186" s="2" t="inlineStr">
        <is>
          <t>ORIG-144</t>
        </is>
      </c>
      <c r="Q186" s="2" t="inlineStr">
        <is>
          <t>High</t>
        </is>
      </c>
      <c r="R186" s="2" t="inlineStr">
        <is>
          <t>Planned</t>
        </is>
      </c>
    </row>
    <row r="187">
      <c r="A187" s="6" t="inlineStr">
        <is>
          <t>Task</t>
        </is>
      </c>
      <c r="B187" s="6" t="inlineStr">
        <is>
          <t>CIN-T-025</t>
        </is>
      </c>
      <c r="C187" s="6" t="inlineStr">
        <is>
          <t>PH-03</t>
        </is>
      </c>
      <c r="D187" s="6" t="inlineStr">
        <is>
          <t>Xây giao diện xem phim và chọn suất chiếu</t>
        </is>
      </c>
      <c r="E187" s="6" t="inlineStr">
        <is>
          <t>PH-03</t>
        </is>
      </c>
      <c r="F187" s="6" t="inlineStr">
        <is>
          <t>Core Product Build</t>
        </is>
      </c>
      <c r="G187" s="6" t="inlineStr">
        <is>
          <t>CIN-T-025</t>
        </is>
      </c>
      <c r="H187" s="6" t="inlineStr">
        <is>
          <t>24120271</t>
        </is>
      </c>
      <c r="I187" s="6" t="inlineStr">
        <is>
          <t>Nguyen Trung Chinh</t>
        </is>
      </c>
      <c r="J187" s="6" t="inlineStr">
        <is>
          <t>Sprint 3</t>
        </is>
      </c>
      <c r="K187" s="6" t="inlineStr"/>
      <c r="L187" s="6" t="inlineStr"/>
      <c r="M187" s="7" t="n">
        <v>46326</v>
      </c>
      <c r="N187" s="7" t="n">
        <v>46339</v>
      </c>
      <c r="O187" s="6">
        <f>SUMIFS('Master Subtasks'!$V$2:$V$293,'Master Subtasks'!$L$2:$L$293,$B187)</f>
        <v/>
      </c>
      <c r="P187" s="6" t="inlineStr"/>
      <c r="Q187" s="6" t="inlineStr">
        <is>
          <t>High</t>
        </is>
      </c>
      <c r="R187" s="6" t="inlineStr">
        <is>
          <t>Planned</t>
        </is>
      </c>
    </row>
    <row r="188">
      <c r="A188" s="2" t="inlineStr">
        <is>
          <t>Sub-task</t>
        </is>
      </c>
      <c r="B188" s="2" t="inlineStr">
        <is>
          <t>CIN-SUB-145</t>
        </is>
      </c>
      <c r="C188" s="2" t="inlineStr">
        <is>
          <t>CIN-T-025</t>
        </is>
      </c>
      <c r="D188" s="2" t="inlineStr">
        <is>
          <t>Web Layout</t>
        </is>
      </c>
      <c r="E188" s="2" t="inlineStr">
        <is>
          <t>PH-03</t>
        </is>
      </c>
      <c r="F188" s="2" t="inlineStr">
        <is>
          <t>Core Product Build</t>
        </is>
      </c>
      <c r="G188" s="2" t="inlineStr">
        <is>
          <t>CIN-T-025</t>
        </is>
      </c>
      <c r="H188" s="2" t="inlineStr">
        <is>
          <t>24120271</t>
        </is>
      </c>
      <c r="I188" s="2" t="inlineStr">
        <is>
          <t>Nguyen Trung Chinh</t>
        </is>
      </c>
      <c r="J188" s="2" t="inlineStr">
        <is>
          <t>Sprint 3</t>
        </is>
      </c>
      <c r="K188" s="2" t="inlineStr">
        <is>
          <t>24120271</t>
        </is>
      </c>
      <c r="L188" s="2" t="inlineStr">
        <is>
          <t>Nguyen Trung Chinh</t>
        </is>
      </c>
      <c r="M188" s="3" t="n">
        <v>46326</v>
      </c>
      <c r="N188" s="3" t="n">
        <v>46339</v>
      </c>
      <c r="O188" s="2" t="n">
        <v>3</v>
      </c>
      <c r="P188" s="2" t="inlineStr">
        <is>
          <t>ORIG-145</t>
        </is>
      </c>
      <c r="Q188" s="2" t="inlineStr">
        <is>
          <t>High</t>
        </is>
      </c>
      <c r="R188" s="2" t="inlineStr">
        <is>
          <t>Planned</t>
        </is>
      </c>
    </row>
    <row r="189">
      <c r="A189" s="2" t="inlineStr">
        <is>
          <t>Sub-task</t>
        </is>
      </c>
      <c r="B189" s="2" t="inlineStr">
        <is>
          <t>CIN-SUB-146</t>
        </is>
      </c>
      <c r="C189" s="2" t="inlineStr">
        <is>
          <t>CIN-T-025</t>
        </is>
      </c>
      <c r="D189" s="2" t="inlineStr">
        <is>
          <t>Trang Home</t>
        </is>
      </c>
      <c r="E189" s="2" t="inlineStr">
        <is>
          <t>PH-03</t>
        </is>
      </c>
      <c r="F189" s="2" t="inlineStr">
        <is>
          <t>Core Product Build</t>
        </is>
      </c>
      <c r="G189" s="2" t="inlineStr">
        <is>
          <t>CIN-T-025</t>
        </is>
      </c>
      <c r="H189" s="2" t="inlineStr">
        <is>
          <t>24120271</t>
        </is>
      </c>
      <c r="I189" s="2" t="inlineStr">
        <is>
          <t>Nguyen Trung Chinh</t>
        </is>
      </c>
      <c r="J189" s="2" t="inlineStr">
        <is>
          <t>Sprint 3</t>
        </is>
      </c>
      <c r="K189" s="2" t="inlineStr">
        <is>
          <t>24120235</t>
        </is>
      </c>
      <c r="L189" s="2" t="inlineStr">
        <is>
          <t>Huynh Thanh Tu</t>
        </is>
      </c>
      <c r="M189" s="3" t="n">
        <v>46326</v>
      </c>
      <c r="N189" s="3" t="n">
        <v>46339</v>
      </c>
      <c r="O189" s="2" t="n">
        <v>2</v>
      </c>
      <c r="P189" s="2" t="inlineStr">
        <is>
          <t>ORIG-146</t>
        </is>
      </c>
      <c r="Q189" s="2" t="inlineStr">
        <is>
          <t>High</t>
        </is>
      </c>
      <c r="R189" s="2" t="inlineStr">
        <is>
          <t>Planned</t>
        </is>
      </c>
    </row>
    <row r="190">
      <c r="A190" s="2" t="inlineStr">
        <is>
          <t>Sub-task</t>
        </is>
      </c>
      <c r="B190" s="2" t="inlineStr">
        <is>
          <t>CIN-SUB-147</t>
        </is>
      </c>
      <c r="C190" s="2" t="inlineStr">
        <is>
          <t>CIN-T-025</t>
        </is>
      </c>
      <c r="D190" s="2" t="inlineStr">
        <is>
          <t>Trang Movie List</t>
        </is>
      </c>
      <c r="E190" s="2" t="inlineStr">
        <is>
          <t>PH-03</t>
        </is>
      </c>
      <c r="F190" s="2" t="inlineStr">
        <is>
          <t>Core Product Build</t>
        </is>
      </c>
      <c r="G190" s="2" t="inlineStr">
        <is>
          <t>CIN-T-025</t>
        </is>
      </c>
      <c r="H190" s="2" t="inlineStr">
        <is>
          <t>24120271</t>
        </is>
      </c>
      <c r="I190" s="2" t="inlineStr">
        <is>
          <t>Nguyen Trung Chinh</t>
        </is>
      </c>
      <c r="J190" s="2" t="inlineStr">
        <is>
          <t>Sprint 3</t>
        </is>
      </c>
      <c r="K190" s="2" t="inlineStr">
        <is>
          <t>24120244</t>
        </is>
      </c>
      <c r="L190" s="2" t="inlineStr">
        <is>
          <t>Phan Van Viet</t>
        </is>
      </c>
      <c r="M190" s="3" t="n">
        <v>46326</v>
      </c>
      <c r="N190" s="3" t="n">
        <v>46339</v>
      </c>
      <c r="O190" s="2" t="n">
        <v>2</v>
      </c>
      <c r="P190" s="2" t="inlineStr">
        <is>
          <t>ORIG-147</t>
        </is>
      </c>
      <c r="Q190" s="2" t="inlineStr">
        <is>
          <t>High</t>
        </is>
      </c>
      <c r="R190" s="2" t="inlineStr">
        <is>
          <t>Planned</t>
        </is>
      </c>
    </row>
    <row r="191">
      <c r="A191" s="2" t="inlineStr">
        <is>
          <t>Sub-task</t>
        </is>
      </c>
      <c r="B191" s="2" t="inlineStr">
        <is>
          <t>CIN-SUB-148</t>
        </is>
      </c>
      <c r="C191" s="2" t="inlineStr">
        <is>
          <t>CIN-T-025</t>
        </is>
      </c>
      <c r="D191" s="2" t="inlineStr">
        <is>
          <t>Trang Movie Detail</t>
        </is>
      </c>
      <c r="E191" s="2" t="inlineStr">
        <is>
          <t>PH-03</t>
        </is>
      </c>
      <c r="F191" s="2" t="inlineStr">
        <is>
          <t>Core Product Build</t>
        </is>
      </c>
      <c r="G191" s="2" t="inlineStr">
        <is>
          <t>CIN-T-025</t>
        </is>
      </c>
      <c r="H191" s="2" t="inlineStr">
        <is>
          <t>24120271</t>
        </is>
      </c>
      <c r="I191" s="2" t="inlineStr">
        <is>
          <t>Nguyen Trung Chinh</t>
        </is>
      </c>
      <c r="J191" s="2" t="inlineStr">
        <is>
          <t>Sprint 3</t>
        </is>
      </c>
      <c r="K191" s="2" t="inlineStr">
        <is>
          <t>24120255</t>
        </is>
      </c>
      <c r="L191" s="2" t="inlineStr">
        <is>
          <t>Tran Thien An</t>
        </is>
      </c>
      <c r="M191" s="3" t="n">
        <v>46326</v>
      </c>
      <c r="N191" s="3" t="n">
        <v>46339</v>
      </c>
      <c r="O191" s="2" t="n">
        <v>2</v>
      </c>
      <c r="P191" s="2" t="inlineStr">
        <is>
          <t>ORIG-148</t>
        </is>
      </c>
      <c r="Q191" s="2" t="inlineStr">
        <is>
          <t>High</t>
        </is>
      </c>
      <c r="R191" s="2" t="inlineStr">
        <is>
          <t>Planned</t>
        </is>
      </c>
    </row>
    <row r="192">
      <c r="A192" s="2" t="inlineStr">
        <is>
          <t>Sub-task</t>
        </is>
      </c>
      <c r="B192" s="2" t="inlineStr">
        <is>
          <t>CIN-SUB-149</t>
        </is>
      </c>
      <c r="C192" s="2" t="inlineStr">
        <is>
          <t>CIN-T-025</t>
        </is>
      </c>
      <c r="D192" s="2" t="inlineStr">
        <is>
          <t>Trang Showtime</t>
        </is>
      </c>
      <c r="E192" s="2" t="inlineStr">
        <is>
          <t>PH-03</t>
        </is>
      </c>
      <c r="F192" s="2" t="inlineStr">
        <is>
          <t>Core Product Build</t>
        </is>
      </c>
      <c r="G192" s="2" t="inlineStr">
        <is>
          <t>CIN-T-025</t>
        </is>
      </c>
      <c r="H192" s="2" t="inlineStr">
        <is>
          <t>24120271</t>
        </is>
      </c>
      <c r="I192" s="2" t="inlineStr">
        <is>
          <t>Nguyen Trung Chinh</t>
        </is>
      </c>
      <c r="J192" s="2" t="inlineStr">
        <is>
          <t>Sprint 3</t>
        </is>
      </c>
      <c r="K192" s="2" t="inlineStr">
        <is>
          <t>24120098</t>
        </is>
      </c>
      <c r="L192" s="2" t="inlineStr">
        <is>
          <t>Nguyen Quoc Nam</t>
        </is>
      </c>
      <c r="M192" s="3" t="n">
        <v>46326</v>
      </c>
      <c r="N192" s="3" t="n">
        <v>46339</v>
      </c>
      <c r="O192" s="2" t="n">
        <v>2</v>
      </c>
      <c r="P192" s="2" t="inlineStr">
        <is>
          <t>ORIG-149</t>
        </is>
      </c>
      <c r="Q192" s="2" t="inlineStr">
        <is>
          <t>High</t>
        </is>
      </c>
      <c r="R192" s="2" t="inlineStr">
        <is>
          <t>Planned</t>
        </is>
      </c>
    </row>
    <row r="193">
      <c r="A193" s="6" t="inlineStr">
        <is>
          <t>Task</t>
        </is>
      </c>
      <c r="B193" s="6" t="inlineStr">
        <is>
          <t>CIN-T-026</t>
        </is>
      </c>
      <c r="C193" s="6" t="inlineStr">
        <is>
          <t>PH-03</t>
        </is>
      </c>
      <c r="D193" s="6" t="inlineStr">
        <is>
          <t>Xây giao diện ghế, thanh toán và tài khoản</t>
        </is>
      </c>
      <c r="E193" s="6" t="inlineStr">
        <is>
          <t>PH-03</t>
        </is>
      </c>
      <c r="F193" s="6" t="inlineStr">
        <is>
          <t>Core Product Build</t>
        </is>
      </c>
      <c r="G193" s="6" t="inlineStr">
        <is>
          <t>CIN-T-026</t>
        </is>
      </c>
      <c r="H193" s="6" t="inlineStr">
        <is>
          <t>24120271</t>
        </is>
      </c>
      <c r="I193" s="6" t="inlineStr">
        <is>
          <t>Nguyen Trung Chinh</t>
        </is>
      </c>
      <c r="J193" s="6" t="inlineStr">
        <is>
          <t>Sprint 4</t>
        </is>
      </c>
      <c r="K193" s="6" t="inlineStr"/>
      <c r="L193" s="6" t="inlineStr"/>
      <c r="M193" s="7" t="n">
        <v>46340</v>
      </c>
      <c r="N193" s="7" t="n">
        <v>46353</v>
      </c>
      <c r="O193" s="6">
        <f>SUMIFS('Master Subtasks'!$V$2:$V$293,'Master Subtasks'!$L$2:$L$293,$B193)</f>
        <v/>
      </c>
      <c r="P193" s="6" t="inlineStr"/>
      <c r="Q193" s="6" t="inlineStr">
        <is>
          <t>High</t>
        </is>
      </c>
      <c r="R193" s="6" t="inlineStr">
        <is>
          <t>Planned</t>
        </is>
      </c>
    </row>
    <row r="194">
      <c r="A194" s="2" t="inlineStr">
        <is>
          <t>Sub-task</t>
        </is>
      </c>
      <c r="B194" s="2" t="inlineStr">
        <is>
          <t>CIN-SUB-150</t>
        </is>
      </c>
      <c r="C194" s="2" t="inlineStr">
        <is>
          <t>CIN-T-026</t>
        </is>
      </c>
      <c r="D194" s="2" t="inlineStr">
        <is>
          <t>Trang Seat Selection</t>
        </is>
      </c>
      <c r="E194" s="2" t="inlineStr">
        <is>
          <t>PH-03</t>
        </is>
      </c>
      <c r="F194" s="2" t="inlineStr">
        <is>
          <t>Core Product Build</t>
        </is>
      </c>
      <c r="G194" s="2" t="inlineStr">
        <is>
          <t>CIN-T-026</t>
        </is>
      </c>
      <c r="H194" s="2" t="inlineStr">
        <is>
          <t>24120271</t>
        </is>
      </c>
      <c r="I194" s="2" t="inlineStr">
        <is>
          <t>Nguyen Trung Chinh</t>
        </is>
      </c>
      <c r="J194" s="2" t="inlineStr">
        <is>
          <t>Sprint 4</t>
        </is>
      </c>
      <c r="K194" s="2" t="inlineStr">
        <is>
          <t>24120235</t>
        </is>
      </c>
      <c r="L194" s="2" t="inlineStr">
        <is>
          <t>Huynh Thanh Tu</t>
        </is>
      </c>
      <c r="M194" s="3" t="n">
        <v>46340</v>
      </c>
      <c r="N194" s="3" t="n">
        <v>46353</v>
      </c>
      <c r="O194" s="2" t="n">
        <v>2</v>
      </c>
      <c r="P194" s="2" t="inlineStr">
        <is>
          <t>ORIG-150</t>
        </is>
      </c>
      <c r="Q194" s="2" t="inlineStr">
        <is>
          <t>High</t>
        </is>
      </c>
      <c r="R194" s="2" t="inlineStr">
        <is>
          <t>Planned</t>
        </is>
      </c>
    </row>
    <row r="195">
      <c r="A195" s="2" t="inlineStr">
        <is>
          <t>Sub-task</t>
        </is>
      </c>
      <c r="B195" s="2" t="inlineStr">
        <is>
          <t>CIN-SUB-151</t>
        </is>
      </c>
      <c r="C195" s="2" t="inlineStr">
        <is>
          <t>CIN-T-026</t>
        </is>
      </c>
      <c r="D195" s="2" t="inlineStr">
        <is>
          <t>Trang Ticket Type</t>
        </is>
      </c>
      <c r="E195" s="2" t="inlineStr">
        <is>
          <t>PH-03</t>
        </is>
      </c>
      <c r="F195" s="2" t="inlineStr">
        <is>
          <t>Core Product Build</t>
        </is>
      </c>
      <c r="G195" s="2" t="inlineStr">
        <is>
          <t>CIN-T-026</t>
        </is>
      </c>
      <c r="H195" s="2" t="inlineStr">
        <is>
          <t>24120271</t>
        </is>
      </c>
      <c r="I195" s="2" t="inlineStr">
        <is>
          <t>Nguyen Trung Chinh</t>
        </is>
      </c>
      <c r="J195" s="2" t="inlineStr">
        <is>
          <t>Sprint 4</t>
        </is>
      </c>
      <c r="K195" s="2" t="inlineStr">
        <is>
          <t>24120271</t>
        </is>
      </c>
      <c r="L195" s="2" t="inlineStr">
        <is>
          <t>Nguyen Trung Chinh</t>
        </is>
      </c>
      <c r="M195" s="3" t="n">
        <v>46340</v>
      </c>
      <c r="N195" s="3" t="n">
        <v>46353</v>
      </c>
      <c r="O195" s="2" t="n">
        <v>3</v>
      </c>
      <c r="P195" s="2" t="inlineStr">
        <is>
          <t>ORIG-151</t>
        </is>
      </c>
      <c r="Q195" s="2" t="inlineStr">
        <is>
          <t>High</t>
        </is>
      </c>
      <c r="R195" s="2" t="inlineStr">
        <is>
          <t>Planned</t>
        </is>
      </c>
    </row>
    <row r="196">
      <c r="A196" s="2" t="inlineStr">
        <is>
          <t>Sub-task</t>
        </is>
      </c>
      <c r="B196" s="2" t="inlineStr">
        <is>
          <t>CIN-SUB-152</t>
        </is>
      </c>
      <c r="C196" s="2" t="inlineStr">
        <is>
          <t>CIN-T-026</t>
        </is>
      </c>
      <c r="D196" s="2" t="inlineStr">
        <is>
          <t>Trang Booking Confirmation</t>
        </is>
      </c>
      <c r="E196" s="2" t="inlineStr">
        <is>
          <t>PH-03</t>
        </is>
      </c>
      <c r="F196" s="2" t="inlineStr">
        <is>
          <t>Core Product Build</t>
        </is>
      </c>
      <c r="G196" s="2" t="inlineStr">
        <is>
          <t>CIN-T-026</t>
        </is>
      </c>
      <c r="H196" s="2" t="inlineStr">
        <is>
          <t>24120271</t>
        </is>
      </c>
      <c r="I196" s="2" t="inlineStr">
        <is>
          <t>Nguyen Trung Chinh</t>
        </is>
      </c>
      <c r="J196" s="2" t="inlineStr">
        <is>
          <t>Sprint 4</t>
        </is>
      </c>
      <c r="K196" s="2" t="inlineStr">
        <is>
          <t>24120244</t>
        </is>
      </c>
      <c r="L196" s="2" t="inlineStr">
        <is>
          <t>Phan Van Viet</t>
        </is>
      </c>
      <c r="M196" s="3" t="n">
        <v>46340</v>
      </c>
      <c r="N196" s="3" t="n">
        <v>46353</v>
      </c>
      <c r="O196" s="2" t="n">
        <v>3</v>
      </c>
      <c r="P196" s="2" t="inlineStr">
        <is>
          <t>ORIG-152</t>
        </is>
      </c>
      <c r="Q196" s="2" t="inlineStr">
        <is>
          <t>High</t>
        </is>
      </c>
      <c r="R196" s="2" t="inlineStr">
        <is>
          <t>Planned</t>
        </is>
      </c>
    </row>
    <row r="197">
      <c r="A197" s="2" t="inlineStr">
        <is>
          <t>Sub-task</t>
        </is>
      </c>
      <c r="B197" s="2" t="inlineStr">
        <is>
          <t>CIN-SUB-153</t>
        </is>
      </c>
      <c r="C197" s="2" t="inlineStr">
        <is>
          <t>CIN-T-026</t>
        </is>
      </c>
      <c r="D197" s="2" t="inlineStr">
        <is>
          <t>Trang Payment</t>
        </is>
      </c>
      <c r="E197" s="2" t="inlineStr">
        <is>
          <t>PH-03</t>
        </is>
      </c>
      <c r="F197" s="2" t="inlineStr">
        <is>
          <t>Core Product Build</t>
        </is>
      </c>
      <c r="G197" s="2" t="inlineStr">
        <is>
          <t>CIN-T-026</t>
        </is>
      </c>
      <c r="H197" s="2" t="inlineStr">
        <is>
          <t>24120271</t>
        </is>
      </c>
      <c r="I197" s="2" t="inlineStr">
        <is>
          <t>Nguyen Trung Chinh</t>
        </is>
      </c>
      <c r="J197" s="2" t="inlineStr">
        <is>
          <t>Sprint 4</t>
        </is>
      </c>
      <c r="K197" s="2" t="inlineStr">
        <is>
          <t>24120098</t>
        </is>
      </c>
      <c r="L197" s="2" t="inlineStr">
        <is>
          <t>Nguyen Quoc Nam</t>
        </is>
      </c>
      <c r="M197" s="3" t="n">
        <v>46340</v>
      </c>
      <c r="N197" s="3" t="n">
        <v>46353</v>
      </c>
      <c r="O197" s="2" t="n">
        <v>3</v>
      </c>
      <c r="P197" s="2" t="inlineStr">
        <is>
          <t>ORIG-153</t>
        </is>
      </c>
      <c r="Q197" s="2" t="inlineStr">
        <is>
          <t>High</t>
        </is>
      </c>
      <c r="R197" s="2" t="inlineStr">
        <is>
          <t>Planned</t>
        </is>
      </c>
    </row>
    <row r="198">
      <c r="A198" s="2" t="inlineStr">
        <is>
          <t>Sub-task</t>
        </is>
      </c>
      <c r="B198" s="2" t="inlineStr">
        <is>
          <t>CIN-SUB-154</t>
        </is>
      </c>
      <c r="C198" s="2" t="inlineStr">
        <is>
          <t>CIN-T-026</t>
        </is>
      </c>
      <c r="D198" s="2" t="inlineStr">
        <is>
          <t>Trang Payment Result</t>
        </is>
      </c>
      <c r="E198" s="2" t="inlineStr">
        <is>
          <t>PH-03</t>
        </is>
      </c>
      <c r="F198" s="2" t="inlineStr">
        <is>
          <t>Core Product Build</t>
        </is>
      </c>
      <c r="G198" s="2" t="inlineStr">
        <is>
          <t>CIN-T-026</t>
        </is>
      </c>
      <c r="H198" s="2" t="inlineStr">
        <is>
          <t>24120271</t>
        </is>
      </c>
      <c r="I198" s="2" t="inlineStr">
        <is>
          <t>Nguyen Trung Chinh</t>
        </is>
      </c>
      <c r="J198" s="2" t="inlineStr">
        <is>
          <t>Sprint 4</t>
        </is>
      </c>
      <c r="K198" s="2" t="inlineStr">
        <is>
          <t>24120255</t>
        </is>
      </c>
      <c r="L198" s="2" t="inlineStr">
        <is>
          <t>Tran Thien An</t>
        </is>
      </c>
      <c r="M198" s="3" t="n">
        <v>46340</v>
      </c>
      <c r="N198" s="3" t="n">
        <v>46353</v>
      </c>
      <c r="O198" s="2" t="n">
        <v>3</v>
      </c>
      <c r="P198" s="2" t="inlineStr">
        <is>
          <t>ORIG-154</t>
        </is>
      </c>
      <c r="Q198" s="2" t="inlineStr">
        <is>
          <t>High</t>
        </is>
      </c>
      <c r="R198" s="2" t="inlineStr">
        <is>
          <t>Planned</t>
        </is>
      </c>
    </row>
    <row r="199">
      <c r="A199" s="2" t="inlineStr">
        <is>
          <t>Sub-task</t>
        </is>
      </c>
      <c r="B199" s="2" t="inlineStr">
        <is>
          <t>CIN-SUB-155</t>
        </is>
      </c>
      <c r="C199" s="2" t="inlineStr">
        <is>
          <t>CIN-T-026</t>
        </is>
      </c>
      <c r="D199" s="2" t="inlineStr">
        <is>
          <t>Trang My Tickets</t>
        </is>
      </c>
      <c r="E199" s="2" t="inlineStr">
        <is>
          <t>PH-03</t>
        </is>
      </c>
      <c r="F199" s="2" t="inlineStr">
        <is>
          <t>Core Product Build</t>
        </is>
      </c>
      <c r="G199" s="2" t="inlineStr">
        <is>
          <t>CIN-T-026</t>
        </is>
      </c>
      <c r="H199" s="2" t="inlineStr">
        <is>
          <t>24120271</t>
        </is>
      </c>
      <c r="I199" s="2" t="inlineStr">
        <is>
          <t>Nguyen Trung Chinh</t>
        </is>
      </c>
      <c r="J199" s="2" t="inlineStr">
        <is>
          <t>Sprint 4</t>
        </is>
      </c>
      <c r="K199" s="2" t="inlineStr">
        <is>
          <t>24120235</t>
        </is>
      </c>
      <c r="L199" s="2" t="inlineStr">
        <is>
          <t>Huynh Thanh Tu</t>
        </is>
      </c>
      <c r="M199" s="3" t="n">
        <v>46340</v>
      </c>
      <c r="N199" s="3" t="n">
        <v>46353</v>
      </c>
      <c r="O199" s="2" t="n">
        <v>3</v>
      </c>
      <c r="P199" s="2" t="inlineStr">
        <is>
          <t>ORIG-155</t>
        </is>
      </c>
      <c r="Q199" s="2" t="inlineStr">
        <is>
          <t>High</t>
        </is>
      </c>
      <c r="R199" s="2" t="inlineStr">
        <is>
          <t>Planned</t>
        </is>
      </c>
    </row>
    <row r="200">
      <c r="A200" s="2" t="inlineStr">
        <is>
          <t>Sub-task</t>
        </is>
      </c>
      <c r="B200" s="2" t="inlineStr">
        <is>
          <t>CIN-SUB-156</t>
        </is>
      </c>
      <c r="C200" s="2" t="inlineStr">
        <is>
          <t>CIN-T-026</t>
        </is>
      </c>
      <c r="D200" s="2" t="inlineStr">
        <is>
          <t>Trang Booking History</t>
        </is>
      </c>
      <c r="E200" s="2" t="inlineStr">
        <is>
          <t>PH-03</t>
        </is>
      </c>
      <c r="F200" s="2" t="inlineStr">
        <is>
          <t>Core Product Build</t>
        </is>
      </c>
      <c r="G200" s="2" t="inlineStr">
        <is>
          <t>CIN-T-026</t>
        </is>
      </c>
      <c r="H200" s="2" t="inlineStr">
        <is>
          <t>24120271</t>
        </is>
      </c>
      <c r="I200" s="2" t="inlineStr">
        <is>
          <t>Nguyen Trung Chinh</t>
        </is>
      </c>
      <c r="J200" s="2" t="inlineStr">
        <is>
          <t>Sprint 4</t>
        </is>
      </c>
      <c r="K200" s="2" t="inlineStr">
        <is>
          <t>24120271</t>
        </is>
      </c>
      <c r="L200" s="2" t="inlineStr">
        <is>
          <t>Nguyen Trung Chinh</t>
        </is>
      </c>
      <c r="M200" s="3" t="n">
        <v>46340</v>
      </c>
      <c r="N200" s="3" t="n">
        <v>46353</v>
      </c>
      <c r="O200" s="2" t="n">
        <v>3</v>
      </c>
      <c r="P200" s="2" t="inlineStr">
        <is>
          <t>ORIG-156</t>
        </is>
      </c>
      <c r="Q200" s="2" t="inlineStr">
        <is>
          <t>High</t>
        </is>
      </c>
      <c r="R200" s="2" t="inlineStr">
        <is>
          <t>Planned</t>
        </is>
      </c>
    </row>
    <row r="201">
      <c r="A201" s="2" t="inlineStr">
        <is>
          <t>Sub-task</t>
        </is>
      </c>
      <c r="B201" s="2" t="inlineStr">
        <is>
          <t>CIN-SUB-157</t>
        </is>
      </c>
      <c r="C201" s="2" t="inlineStr">
        <is>
          <t>CIN-T-026</t>
        </is>
      </c>
      <c r="D201" s="2" t="inlineStr">
        <is>
          <t>Trang Profile</t>
        </is>
      </c>
      <c r="E201" s="2" t="inlineStr">
        <is>
          <t>PH-03</t>
        </is>
      </c>
      <c r="F201" s="2" t="inlineStr">
        <is>
          <t>Core Product Build</t>
        </is>
      </c>
      <c r="G201" s="2" t="inlineStr">
        <is>
          <t>CIN-T-026</t>
        </is>
      </c>
      <c r="H201" s="2" t="inlineStr">
        <is>
          <t>24120271</t>
        </is>
      </c>
      <c r="I201" s="2" t="inlineStr">
        <is>
          <t>Nguyen Trung Chinh</t>
        </is>
      </c>
      <c r="J201" s="2" t="inlineStr">
        <is>
          <t>Sprint 4</t>
        </is>
      </c>
      <c r="K201" s="2" t="inlineStr">
        <is>
          <t>24120244</t>
        </is>
      </c>
      <c r="L201" s="2" t="inlineStr">
        <is>
          <t>Phan Van Viet</t>
        </is>
      </c>
      <c r="M201" s="3" t="n">
        <v>46340</v>
      </c>
      <c r="N201" s="3" t="n">
        <v>46353</v>
      </c>
      <c r="O201" s="2" t="n">
        <v>2</v>
      </c>
      <c r="P201" s="2" t="inlineStr">
        <is>
          <t>ORIG-157</t>
        </is>
      </c>
      <c r="Q201" s="2" t="inlineStr">
        <is>
          <t>High</t>
        </is>
      </c>
      <c r="R201" s="2" t="inlineStr">
        <is>
          <t>Planned</t>
        </is>
      </c>
    </row>
    <row r="202">
      <c r="A202" s="6" t="inlineStr">
        <is>
          <t>Task</t>
        </is>
      </c>
      <c r="B202" s="6" t="inlineStr">
        <is>
          <t>CIN-T-027</t>
        </is>
      </c>
      <c r="C202" s="6" t="inlineStr">
        <is>
          <t>PH-03</t>
        </is>
      </c>
      <c r="D202" s="6" t="inlineStr">
        <is>
          <t>Tích hợp frontend với API thật</t>
        </is>
      </c>
      <c r="E202" s="6" t="inlineStr">
        <is>
          <t>PH-03</t>
        </is>
      </c>
      <c r="F202" s="6" t="inlineStr">
        <is>
          <t>Core Product Build</t>
        </is>
      </c>
      <c r="G202" s="6" t="inlineStr">
        <is>
          <t>CIN-T-027</t>
        </is>
      </c>
      <c r="H202" s="6" t="inlineStr">
        <is>
          <t>24120098</t>
        </is>
      </c>
      <c r="I202" s="6" t="inlineStr">
        <is>
          <t>Nguyen Quoc Nam</t>
        </is>
      </c>
      <c r="J202" s="6" t="inlineStr">
        <is>
          <t>Sprint 4</t>
        </is>
      </c>
      <c r="K202" s="6" t="inlineStr"/>
      <c r="L202" s="6" t="inlineStr"/>
      <c r="M202" s="7" t="n">
        <v>46340</v>
      </c>
      <c r="N202" s="7" t="n">
        <v>46353</v>
      </c>
      <c r="O202" s="6">
        <f>SUMIFS('Master Subtasks'!$V$2:$V$293,'Master Subtasks'!$L$2:$L$293,$B202)</f>
        <v/>
      </c>
      <c r="P202" s="6" t="inlineStr"/>
      <c r="Q202" s="6" t="inlineStr">
        <is>
          <t>High</t>
        </is>
      </c>
      <c r="R202" s="6" t="inlineStr">
        <is>
          <t>Planned</t>
        </is>
      </c>
    </row>
    <row r="203">
      <c r="A203" s="2" t="inlineStr">
        <is>
          <t>Sub-task</t>
        </is>
      </c>
      <c r="B203" s="2" t="inlineStr">
        <is>
          <t>CIN-SUB-158</t>
        </is>
      </c>
      <c r="C203" s="2" t="inlineStr">
        <is>
          <t>CIN-T-027</t>
        </is>
      </c>
      <c r="D203" s="2" t="inlineStr">
        <is>
          <t>API Client</t>
        </is>
      </c>
      <c r="E203" s="2" t="inlineStr">
        <is>
          <t>PH-03</t>
        </is>
      </c>
      <c r="F203" s="2" t="inlineStr">
        <is>
          <t>Core Product Build</t>
        </is>
      </c>
      <c r="G203" s="2" t="inlineStr">
        <is>
          <t>CIN-T-027</t>
        </is>
      </c>
      <c r="H203" s="2" t="inlineStr">
        <is>
          <t>24120098</t>
        </is>
      </c>
      <c r="I203" s="2" t="inlineStr">
        <is>
          <t>Nguyen Quoc Nam</t>
        </is>
      </c>
      <c r="J203" s="2" t="inlineStr">
        <is>
          <t>Sprint 4</t>
        </is>
      </c>
      <c r="K203" s="2" t="inlineStr">
        <is>
          <t>24120098</t>
        </is>
      </c>
      <c r="L203" s="2" t="inlineStr">
        <is>
          <t>Nguyen Quoc Nam</t>
        </is>
      </c>
      <c r="M203" s="3" t="n">
        <v>46340</v>
      </c>
      <c r="N203" s="3" t="n">
        <v>46353</v>
      </c>
      <c r="O203" s="2" t="n">
        <v>3</v>
      </c>
      <c r="P203" s="2" t="inlineStr">
        <is>
          <t>ORIG-158</t>
        </is>
      </c>
      <c r="Q203" s="2" t="inlineStr">
        <is>
          <t>High</t>
        </is>
      </c>
      <c r="R203" s="2" t="inlineStr">
        <is>
          <t>Planned</t>
        </is>
      </c>
    </row>
    <row r="204">
      <c r="A204" s="2" t="inlineStr">
        <is>
          <t>Sub-task</t>
        </is>
      </c>
      <c r="B204" s="2" t="inlineStr">
        <is>
          <t>CIN-SUB-159</t>
        </is>
      </c>
      <c r="C204" s="2" t="inlineStr">
        <is>
          <t>CIN-T-027</t>
        </is>
      </c>
      <c r="D204" s="2" t="inlineStr">
        <is>
          <t>Authentication Integration</t>
        </is>
      </c>
      <c r="E204" s="2" t="inlineStr">
        <is>
          <t>PH-03</t>
        </is>
      </c>
      <c r="F204" s="2" t="inlineStr">
        <is>
          <t>Core Product Build</t>
        </is>
      </c>
      <c r="G204" s="2" t="inlineStr">
        <is>
          <t>CIN-T-027</t>
        </is>
      </c>
      <c r="H204" s="2" t="inlineStr">
        <is>
          <t>24120098</t>
        </is>
      </c>
      <c r="I204" s="2" t="inlineStr">
        <is>
          <t>Nguyen Quoc Nam</t>
        </is>
      </c>
      <c r="J204" s="2" t="inlineStr">
        <is>
          <t>Sprint 4</t>
        </is>
      </c>
      <c r="K204" s="2" t="inlineStr">
        <is>
          <t>24120255</t>
        </is>
      </c>
      <c r="L204" s="2" t="inlineStr">
        <is>
          <t>Tran Thien An</t>
        </is>
      </c>
      <c r="M204" s="3" t="n">
        <v>46340</v>
      </c>
      <c r="N204" s="3" t="n">
        <v>46353</v>
      </c>
      <c r="O204" s="2" t="n">
        <v>3</v>
      </c>
      <c r="P204" s="2" t="inlineStr">
        <is>
          <t>ORIG-159</t>
        </is>
      </c>
      <c r="Q204" s="2" t="inlineStr">
        <is>
          <t>High</t>
        </is>
      </c>
      <c r="R204" s="2" t="inlineStr">
        <is>
          <t>Planned</t>
        </is>
      </c>
    </row>
    <row r="205">
      <c r="A205" s="2" t="inlineStr">
        <is>
          <t>Sub-task</t>
        </is>
      </c>
      <c r="B205" s="2" t="inlineStr">
        <is>
          <t>CIN-SUB-160</t>
        </is>
      </c>
      <c r="C205" s="2" t="inlineStr">
        <is>
          <t>CIN-T-027</t>
        </is>
      </c>
      <c r="D205" s="2" t="inlineStr">
        <is>
          <t>Loading State</t>
        </is>
      </c>
      <c r="E205" s="2" t="inlineStr">
        <is>
          <t>PH-03</t>
        </is>
      </c>
      <c r="F205" s="2" t="inlineStr">
        <is>
          <t>Core Product Build</t>
        </is>
      </c>
      <c r="G205" s="2" t="inlineStr">
        <is>
          <t>CIN-T-027</t>
        </is>
      </c>
      <c r="H205" s="2" t="inlineStr">
        <is>
          <t>24120098</t>
        </is>
      </c>
      <c r="I205" s="2" t="inlineStr">
        <is>
          <t>Nguyen Quoc Nam</t>
        </is>
      </c>
      <c r="J205" s="2" t="inlineStr">
        <is>
          <t>Sprint 4</t>
        </is>
      </c>
      <c r="K205" s="2" t="inlineStr">
        <is>
          <t>24120235</t>
        </is>
      </c>
      <c r="L205" s="2" t="inlineStr">
        <is>
          <t>Huynh Thanh Tu</t>
        </is>
      </c>
      <c r="M205" s="3" t="n">
        <v>46340</v>
      </c>
      <c r="N205" s="3" t="n">
        <v>46353</v>
      </c>
      <c r="O205" s="2" t="n">
        <v>2</v>
      </c>
      <c r="P205" s="2" t="inlineStr">
        <is>
          <t>ORIG-160</t>
        </is>
      </c>
      <c r="Q205" s="2" t="inlineStr">
        <is>
          <t>High</t>
        </is>
      </c>
      <c r="R205" s="2" t="inlineStr">
        <is>
          <t>Planned</t>
        </is>
      </c>
    </row>
    <row r="206">
      <c r="A206" s="2" t="inlineStr">
        <is>
          <t>Sub-task</t>
        </is>
      </c>
      <c r="B206" s="2" t="inlineStr">
        <is>
          <t>CIN-SUB-161</t>
        </is>
      </c>
      <c r="C206" s="2" t="inlineStr">
        <is>
          <t>CIN-T-027</t>
        </is>
      </c>
      <c r="D206" s="2" t="inlineStr">
        <is>
          <t>Error State</t>
        </is>
      </c>
      <c r="E206" s="2" t="inlineStr">
        <is>
          <t>PH-03</t>
        </is>
      </c>
      <c r="F206" s="2" t="inlineStr">
        <is>
          <t>Core Product Build</t>
        </is>
      </c>
      <c r="G206" s="2" t="inlineStr">
        <is>
          <t>CIN-T-027</t>
        </is>
      </c>
      <c r="H206" s="2" t="inlineStr">
        <is>
          <t>24120098</t>
        </is>
      </c>
      <c r="I206" s="2" t="inlineStr">
        <is>
          <t>Nguyen Quoc Nam</t>
        </is>
      </c>
      <c r="J206" s="2" t="inlineStr">
        <is>
          <t>Sprint 4</t>
        </is>
      </c>
      <c r="K206" s="2" t="inlineStr">
        <is>
          <t>24120244</t>
        </is>
      </c>
      <c r="L206" s="2" t="inlineStr">
        <is>
          <t>Phan Van Viet</t>
        </is>
      </c>
      <c r="M206" s="3" t="n">
        <v>46340</v>
      </c>
      <c r="N206" s="3" t="n">
        <v>46353</v>
      </c>
      <c r="O206" s="2" t="n">
        <v>3</v>
      </c>
      <c r="P206" s="2" t="inlineStr">
        <is>
          <t>ORIG-161</t>
        </is>
      </c>
      <c r="Q206" s="2" t="inlineStr">
        <is>
          <t>High</t>
        </is>
      </c>
      <c r="R206" s="2" t="inlineStr">
        <is>
          <t>Planned</t>
        </is>
      </c>
    </row>
    <row r="207">
      <c r="A207" s="2" t="inlineStr">
        <is>
          <t>Sub-task</t>
        </is>
      </c>
      <c r="B207" s="2" t="inlineStr">
        <is>
          <t>CIN-SUB-162</t>
        </is>
      </c>
      <c r="C207" s="2" t="inlineStr">
        <is>
          <t>CIN-T-027</t>
        </is>
      </c>
      <c r="D207" s="2" t="inlineStr">
        <is>
          <t>Form Validation</t>
        </is>
      </c>
      <c r="E207" s="2" t="inlineStr">
        <is>
          <t>PH-03</t>
        </is>
      </c>
      <c r="F207" s="2" t="inlineStr">
        <is>
          <t>Core Product Build</t>
        </is>
      </c>
      <c r="G207" s="2" t="inlineStr">
        <is>
          <t>CIN-T-027</t>
        </is>
      </c>
      <c r="H207" s="2" t="inlineStr">
        <is>
          <t>24120098</t>
        </is>
      </c>
      <c r="I207" s="2" t="inlineStr">
        <is>
          <t>Nguyen Quoc Nam</t>
        </is>
      </c>
      <c r="J207" s="2" t="inlineStr">
        <is>
          <t>Sprint 4</t>
        </is>
      </c>
      <c r="K207" s="2" t="inlineStr">
        <is>
          <t>24120271</t>
        </is>
      </c>
      <c r="L207" s="2" t="inlineStr">
        <is>
          <t>Nguyen Trung Chinh</t>
        </is>
      </c>
      <c r="M207" s="3" t="n">
        <v>46340</v>
      </c>
      <c r="N207" s="3" t="n">
        <v>46353</v>
      </c>
      <c r="O207" s="2" t="n">
        <v>3</v>
      </c>
      <c r="P207" s="2" t="inlineStr">
        <is>
          <t>ORIG-162</t>
        </is>
      </c>
      <c r="Q207" s="2" t="inlineStr">
        <is>
          <t>High</t>
        </is>
      </c>
      <c r="R207" s="2" t="inlineStr">
        <is>
          <t>Planned</t>
        </is>
      </c>
    </row>
    <row r="208">
      <c r="A208" s="2" t="inlineStr">
        <is>
          <t>Sub-task</t>
        </is>
      </c>
      <c r="B208" s="2" t="inlineStr">
        <is>
          <t>CIN-SUB-163</t>
        </is>
      </c>
      <c r="C208" s="2" t="inlineStr">
        <is>
          <t>CIN-T-027</t>
        </is>
      </c>
      <c r="D208" s="2" t="inlineStr">
        <is>
          <t>API Validation</t>
        </is>
      </c>
      <c r="E208" s="2" t="inlineStr">
        <is>
          <t>PH-03</t>
        </is>
      </c>
      <c r="F208" s="2" t="inlineStr">
        <is>
          <t>Core Product Build</t>
        </is>
      </c>
      <c r="G208" s="2" t="inlineStr">
        <is>
          <t>CIN-T-027</t>
        </is>
      </c>
      <c r="H208" s="2" t="inlineStr">
        <is>
          <t>24120098</t>
        </is>
      </c>
      <c r="I208" s="2" t="inlineStr">
        <is>
          <t>Nguyen Quoc Nam</t>
        </is>
      </c>
      <c r="J208" s="2" t="inlineStr">
        <is>
          <t>Sprint 4</t>
        </is>
      </c>
      <c r="K208" s="2" t="inlineStr">
        <is>
          <t>24120235</t>
        </is>
      </c>
      <c r="L208" s="2" t="inlineStr">
        <is>
          <t>Huynh Thanh Tu</t>
        </is>
      </c>
      <c r="M208" s="3" t="n">
        <v>46340</v>
      </c>
      <c r="N208" s="3" t="n">
        <v>46353</v>
      </c>
      <c r="O208" s="2" t="n">
        <v>3</v>
      </c>
      <c r="P208" s="2" t="inlineStr">
        <is>
          <t>ORIG-163</t>
        </is>
      </c>
      <c r="Q208" s="2" t="inlineStr">
        <is>
          <t>High</t>
        </is>
      </c>
      <c r="R208" s="2" t="inlineStr">
        <is>
          <t>Planned</t>
        </is>
      </c>
    </row>
    <row r="209">
      <c r="A209" s="2" t="inlineStr">
        <is>
          <t>Sub-task</t>
        </is>
      </c>
      <c r="B209" s="2" t="inlineStr">
        <is>
          <t>CIN-SUB-164</t>
        </is>
      </c>
      <c r="C209" s="2" t="inlineStr">
        <is>
          <t>CIN-T-027</t>
        </is>
      </c>
      <c r="D209" s="2" t="inlineStr">
        <is>
          <t>Responsive Design</t>
        </is>
      </c>
      <c r="E209" s="2" t="inlineStr">
        <is>
          <t>PH-03</t>
        </is>
      </c>
      <c r="F209" s="2" t="inlineStr">
        <is>
          <t>Core Product Build</t>
        </is>
      </c>
      <c r="G209" s="2" t="inlineStr">
        <is>
          <t>CIN-T-027</t>
        </is>
      </c>
      <c r="H209" s="2" t="inlineStr">
        <is>
          <t>24120098</t>
        </is>
      </c>
      <c r="I209" s="2" t="inlineStr">
        <is>
          <t>Nguyen Quoc Nam</t>
        </is>
      </c>
      <c r="J209" s="2" t="inlineStr">
        <is>
          <t>Sprint 4</t>
        </is>
      </c>
      <c r="K209" s="2" t="inlineStr">
        <is>
          <t>24120098</t>
        </is>
      </c>
      <c r="L209" s="2" t="inlineStr">
        <is>
          <t>Nguyen Quoc Nam</t>
        </is>
      </c>
      <c r="M209" s="3" t="n">
        <v>46340</v>
      </c>
      <c r="N209" s="3" t="n">
        <v>46353</v>
      </c>
      <c r="O209" s="2" t="n">
        <v>3</v>
      </c>
      <c r="P209" s="2" t="inlineStr">
        <is>
          <t>ORIG-164</t>
        </is>
      </c>
      <c r="Q209" s="2" t="inlineStr">
        <is>
          <t>High</t>
        </is>
      </c>
      <c r="R209" s="2" t="inlineStr">
        <is>
          <t>Planned</t>
        </is>
      </c>
    </row>
    <row r="210">
      <c r="A210" s="2" t="inlineStr">
        <is>
          <t>Sub-task</t>
        </is>
      </c>
      <c r="B210" s="2" t="inlineStr">
        <is>
          <t>CIN-SUB-165</t>
        </is>
      </c>
      <c r="C210" s="2" t="inlineStr">
        <is>
          <t>CIN-T-027</t>
        </is>
      </c>
      <c r="D210" s="2" t="inlineStr">
        <is>
          <t>Frontend–Backend Integration</t>
        </is>
      </c>
      <c r="E210" s="2" t="inlineStr">
        <is>
          <t>PH-03</t>
        </is>
      </c>
      <c r="F210" s="2" t="inlineStr">
        <is>
          <t>Core Product Build</t>
        </is>
      </c>
      <c r="G210" s="2" t="inlineStr">
        <is>
          <t>CIN-T-027</t>
        </is>
      </c>
      <c r="H210" s="2" t="inlineStr">
        <is>
          <t>24120098</t>
        </is>
      </c>
      <c r="I210" s="2" t="inlineStr">
        <is>
          <t>Nguyen Quoc Nam</t>
        </is>
      </c>
      <c r="J210" s="2" t="inlineStr">
        <is>
          <t>Sprint 4</t>
        </is>
      </c>
      <c r="K210" s="2" t="inlineStr">
        <is>
          <t>24120255</t>
        </is>
      </c>
      <c r="L210" s="2" t="inlineStr">
        <is>
          <t>Tran Thien An</t>
        </is>
      </c>
      <c r="M210" s="3" t="n">
        <v>46340</v>
      </c>
      <c r="N210" s="3" t="n">
        <v>46353</v>
      </c>
      <c r="O210" s="2" t="n">
        <v>3</v>
      </c>
      <c r="P210" s="2" t="inlineStr">
        <is>
          <t>ORIG-165</t>
        </is>
      </c>
      <c r="Q210" s="2" t="inlineStr">
        <is>
          <t>High</t>
        </is>
      </c>
      <c r="R210" s="2" t="inlineStr">
        <is>
          <t>Planned</t>
        </is>
      </c>
    </row>
    <row r="211">
      <c r="A211" s="6" t="inlineStr">
        <is>
          <t>Task</t>
        </is>
      </c>
      <c r="B211" s="6" t="inlineStr">
        <is>
          <t>CIN-T-032</t>
        </is>
      </c>
      <c r="C211" s="6" t="inlineStr">
        <is>
          <t>PH-03</t>
        </is>
      </c>
      <c r="D211" s="6" t="inlineStr">
        <is>
          <t>Chuẩn hóa validation và xử lý lỗi backend/frontend</t>
        </is>
      </c>
      <c r="E211" s="6" t="inlineStr">
        <is>
          <t>PH-03</t>
        </is>
      </c>
      <c r="F211" s="6" t="inlineStr">
        <is>
          <t>Core Product Build</t>
        </is>
      </c>
      <c r="G211" s="6" t="inlineStr">
        <is>
          <t>CIN-T-032</t>
        </is>
      </c>
      <c r="H211" s="6" t="inlineStr">
        <is>
          <t>24120244</t>
        </is>
      </c>
      <c r="I211" s="6" t="inlineStr">
        <is>
          <t>Phan Van Viet</t>
        </is>
      </c>
      <c r="J211" s="6" t="inlineStr">
        <is>
          <t>Sprint 4</t>
        </is>
      </c>
      <c r="K211" s="6" t="inlineStr"/>
      <c r="L211" s="6" t="inlineStr"/>
      <c r="M211" s="7" t="n">
        <v>46340</v>
      </c>
      <c r="N211" s="7" t="n">
        <v>46353</v>
      </c>
      <c r="O211" s="6">
        <f>SUMIFS('Master Subtasks'!$V$2:$V$293,'Master Subtasks'!$L$2:$L$293,$B211)</f>
        <v/>
      </c>
      <c r="P211" s="6" t="inlineStr"/>
      <c r="Q211" s="6" t="inlineStr">
        <is>
          <t>High</t>
        </is>
      </c>
      <c r="R211" s="6" t="inlineStr">
        <is>
          <t>Planned</t>
        </is>
      </c>
    </row>
    <row r="212">
      <c r="A212" s="2" t="inlineStr">
        <is>
          <t>Sub-task</t>
        </is>
      </c>
      <c r="B212" s="2" t="inlineStr">
        <is>
          <t>CIN-SUB-194</t>
        </is>
      </c>
      <c r="C212" s="2" t="inlineStr">
        <is>
          <t>CIN-T-032</t>
        </is>
      </c>
      <c r="D212" s="2" t="inlineStr">
        <is>
          <t>Backend Validation</t>
        </is>
      </c>
      <c r="E212" s="2" t="inlineStr">
        <is>
          <t>PH-03</t>
        </is>
      </c>
      <c r="F212" s="2" t="inlineStr">
        <is>
          <t>Core Product Build</t>
        </is>
      </c>
      <c r="G212" s="2" t="inlineStr">
        <is>
          <t>CIN-T-032</t>
        </is>
      </c>
      <c r="H212" s="2" t="inlineStr">
        <is>
          <t>24120244</t>
        </is>
      </c>
      <c r="I212" s="2" t="inlineStr">
        <is>
          <t>Phan Van Viet</t>
        </is>
      </c>
      <c r="J212" s="2" t="inlineStr">
        <is>
          <t>Sprint 4</t>
        </is>
      </c>
      <c r="K212" s="2" t="inlineStr">
        <is>
          <t>24120244</t>
        </is>
      </c>
      <c r="L212" s="2" t="inlineStr">
        <is>
          <t>Phan Van Viet</t>
        </is>
      </c>
      <c r="M212" s="3" t="n">
        <v>46340</v>
      </c>
      <c r="N212" s="3" t="n">
        <v>46353</v>
      </c>
      <c r="O212" s="2" t="n">
        <v>3</v>
      </c>
      <c r="P212" s="2" t="inlineStr">
        <is>
          <t>ORIG-194</t>
        </is>
      </c>
      <c r="Q212" s="2" t="inlineStr">
        <is>
          <t>High</t>
        </is>
      </c>
      <c r="R212" s="2" t="inlineStr">
        <is>
          <t>Planned</t>
        </is>
      </c>
    </row>
    <row r="213">
      <c r="A213" s="2" t="inlineStr">
        <is>
          <t>Sub-task</t>
        </is>
      </c>
      <c r="B213" s="2" t="inlineStr">
        <is>
          <t>CIN-SUB-195</t>
        </is>
      </c>
      <c r="C213" s="2" t="inlineStr">
        <is>
          <t>CIN-T-032</t>
        </is>
      </c>
      <c r="D213" s="2" t="inlineStr">
        <is>
          <t>Frontend Validation</t>
        </is>
      </c>
      <c r="E213" s="2" t="inlineStr">
        <is>
          <t>PH-03</t>
        </is>
      </c>
      <c r="F213" s="2" t="inlineStr">
        <is>
          <t>Core Product Build</t>
        </is>
      </c>
      <c r="G213" s="2" t="inlineStr">
        <is>
          <t>CIN-T-032</t>
        </is>
      </c>
      <c r="H213" s="2" t="inlineStr">
        <is>
          <t>24120244</t>
        </is>
      </c>
      <c r="I213" s="2" t="inlineStr">
        <is>
          <t>Phan Van Viet</t>
        </is>
      </c>
      <c r="J213" s="2" t="inlineStr">
        <is>
          <t>Sprint 4</t>
        </is>
      </c>
      <c r="K213" s="2" t="inlineStr">
        <is>
          <t>24120271</t>
        </is>
      </c>
      <c r="L213" s="2" t="inlineStr">
        <is>
          <t>Nguyen Trung Chinh</t>
        </is>
      </c>
      <c r="M213" s="3" t="n">
        <v>46340</v>
      </c>
      <c r="N213" s="3" t="n">
        <v>46353</v>
      </c>
      <c r="O213" s="2" t="n">
        <v>3</v>
      </c>
      <c r="P213" s="2" t="inlineStr">
        <is>
          <t>ORIG-195</t>
        </is>
      </c>
      <c r="Q213" s="2" t="inlineStr">
        <is>
          <t>High</t>
        </is>
      </c>
      <c r="R213" s="2" t="inlineStr">
        <is>
          <t>Planned</t>
        </is>
      </c>
    </row>
    <row r="214">
      <c r="A214" s="2" t="inlineStr">
        <is>
          <t>Sub-task</t>
        </is>
      </c>
      <c r="B214" s="2" t="inlineStr">
        <is>
          <t>CIN-SUB-196</t>
        </is>
      </c>
      <c r="C214" s="2" t="inlineStr">
        <is>
          <t>CIN-T-032</t>
        </is>
      </c>
      <c r="D214" s="2" t="inlineStr">
        <is>
          <t>Global Exception Handling</t>
        </is>
      </c>
      <c r="E214" s="2" t="inlineStr">
        <is>
          <t>PH-03</t>
        </is>
      </c>
      <c r="F214" s="2" t="inlineStr">
        <is>
          <t>Core Product Build</t>
        </is>
      </c>
      <c r="G214" s="2" t="inlineStr">
        <is>
          <t>CIN-T-032</t>
        </is>
      </c>
      <c r="H214" s="2" t="inlineStr">
        <is>
          <t>24120244</t>
        </is>
      </c>
      <c r="I214" s="2" t="inlineStr">
        <is>
          <t>Phan Van Viet</t>
        </is>
      </c>
      <c r="J214" s="2" t="inlineStr">
        <is>
          <t>Sprint 4</t>
        </is>
      </c>
      <c r="K214" s="2" t="inlineStr">
        <is>
          <t>24120235</t>
        </is>
      </c>
      <c r="L214" s="2" t="inlineStr">
        <is>
          <t>Huynh Thanh Tu</t>
        </is>
      </c>
      <c r="M214" s="3" t="n">
        <v>46340</v>
      </c>
      <c r="N214" s="3" t="n">
        <v>46353</v>
      </c>
      <c r="O214" s="2" t="n">
        <v>3</v>
      </c>
      <c r="P214" s="2" t="inlineStr">
        <is>
          <t>ORIG-196</t>
        </is>
      </c>
      <c r="Q214" s="2" t="inlineStr">
        <is>
          <t>High</t>
        </is>
      </c>
      <c r="R214" s="2" t="inlineStr">
        <is>
          <t>Planned</t>
        </is>
      </c>
    </row>
    <row r="215">
      <c r="A215" s="2" t="inlineStr">
        <is>
          <t>Sub-task</t>
        </is>
      </c>
      <c r="B215" s="2" t="inlineStr">
        <is>
          <t>CIN-SUB-197</t>
        </is>
      </c>
      <c r="C215" s="2" t="inlineStr">
        <is>
          <t>CIN-T-032</t>
        </is>
      </c>
      <c r="D215" s="2" t="inlineStr">
        <is>
          <t>Standard Error Response</t>
        </is>
      </c>
      <c r="E215" s="2" t="inlineStr">
        <is>
          <t>PH-03</t>
        </is>
      </c>
      <c r="F215" s="2" t="inlineStr">
        <is>
          <t>Core Product Build</t>
        </is>
      </c>
      <c r="G215" s="2" t="inlineStr">
        <is>
          <t>CIN-T-032</t>
        </is>
      </c>
      <c r="H215" s="2" t="inlineStr">
        <is>
          <t>24120244</t>
        </is>
      </c>
      <c r="I215" s="2" t="inlineStr">
        <is>
          <t>Phan Van Viet</t>
        </is>
      </c>
      <c r="J215" s="2" t="inlineStr">
        <is>
          <t>Sprint 4</t>
        </is>
      </c>
      <c r="K215" s="2" t="inlineStr">
        <is>
          <t>24120098</t>
        </is>
      </c>
      <c r="L215" s="2" t="inlineStr">
        <is>
          <t>Nguyen Quoc Nam</t>
        </is>
      </c>
      <c r="M215" s="3" t="n">
        <v>46340</v>
      </c>
      <c r="N215" s="3" t="n">
        <v>46353</v>
      </c>
      <c r="O215" s="2" t="n">
        <v>3</v>
      </c>
      <c r="P215" s="2" t="inlineStr">
        <is>
          <t>ORIG-197</t>
        </is>
      </c>
      <c r="Q215" s="2" t="inlineStr">
        <is>
          <t>High</t>
        </is>
      </c>
      <c r="R215" s="2" t="inlineStr">
        <is>
          <t>Planned</t>
        </is>
      </c>
    </row>
    <row r="216">
      <c r="A216" s="2" t="inlineStr">
        <is>
          <t>Sub-task</t>
        </is>
      </c>
      <c r="B216" s="2" t="inlineStr">
        <is>
          <t>CIN-SUB-198</t>
        </is>
      </c>
      <c r="C216" s="2" t="inlineStr">
        <is>
          <t>CIN-T-032</t>
        </is>
      </c>
      <c r="D216" s="2" t="inlineStr">
        <is>
          <t>Database Error Handling</t>
        </is>
      </c>
      <c r="E216" s="2" t="inlineStr">
        <is>
          <t>PH-03</t>
        </is>
      </c>
      <c r="F216" s="2" t="inlineStr">
        <is>
          <t>Core Product Build</t>
        </is>
      </c>
      <c r="G216" s="2" t="inlineStr">
        <is>
          <t>CIN-T-032</t>
        </is>
      </c>
      <c r="H216" s="2" t="inlineStr">
        <is>
          <t>24120244</t>
        </is>
      </c>
      <c r="I216" s="2" t="inlineStr">
        <is>
          <t>Phan Van Viet</t>
        </is>
      </c>
      <c r="J216" s="2" t="inlineStr">
        <is>
          <t>Sprint 4</t>
        </is>
      </c>
      <c r="K216" s="2" t="inlineStr">
        <is>
          <t>24120255</t>
        </is>
      </c>
      <c r="L216" s="2" t="inlineStr">
        <is>
          <t>Tran Thien An</t>
        </is>
      </c>
      <c r="M216" s="3" t="n">
        <v>46340</v>
      </c>
      <c r="N216" s="3" t="n">
        <v>46353</v>
      </c>
      <c r="O216" s="2" t="n">
        <v>3</v>
      </c>
      <c r="P216" s="2" t="inlineStr">
        <is>
          <t>ORIG-198</t>
        </is>
      </c>
      <c r="Q216" s="2" t="inlineStr">
        <is>
          <t>High</t>
        </is>
      </c>
      <c r="R216" s="2" t="inlineStr">
        <is>
          <t>Planned</t>
        </is>
      </c>
    </row>
    <row r="217">
      <c r="A217" s="2" t="inlineStr">
        <is>
          <t>Sub-task</t>
        </is>
      </c>
      <c r="B217" s="2" t="inlineStr">
        <is>
          <t>CIN-SUB-199</t>
        </is>
      </c>
      <c r="C217" s="2" t="inlineStr">
        <is>
          <t>CIN-T-032</t>
        </is>
      </c>
      <c r="D217" s="2" t="inlineStr">
        <is>
          <t>Booking Error Handling</t>
        </is>
      </c>
      <c r="E217" s="2" t="inlineStr">
        <is>
          <t>PH-03</t>
        </is>
      </c>
      <c r="F217" s="2" t="inlineStr">
        <is>
          <t>Core Product Build</t>
        </is>
      </c>
      <c r="G217" s="2" t="inlineStr">
        <is>
          <t>CIN-T-032</t>
        </is>
      </c>
      <c r="H217" s="2" t="inlineStr">
        <is>
          <t>24120244</t>
        </is>
      </c>
      <c r="I217" s="2" t="inlineStr">
        <is>
          <t>Phan Van Viet</t>
        </is>
      </c>
      <c r="J217" s="2" t="inlineStr">
        <is>
          <t>Sprint 4</t>
        </is>
      </c>
      <c r="K217" s="2" t="inlineStr">
        <is>
          <t>24120244</t>
        </is>
      </c>
      <c r="L217" s="2" t="inlineStr">
        <is>
          <t>Phan Van Viet</t>
        </is>
      </c>
      <c r="M217" s="3" t="n">
        <v>46340</v>
      </c>
      <c r="N217" s="3" t="n">
        <v>46353</v>
      </c>
      <c r="O217" s="2" t="n">
        <v>3</v>
      </c>
      <c r="P217" s="2" t="inlineStr">
        <is>
          <t>ORIG-199</t>
        </is>
      </c>
      <c r="Q217" s="2" t="inlineStr">
        <is>
          <t>High</t>
        </is>
      </c>
      <c r="R217" s="2" t="inlineStr">
        <is>
          <t>Planned</t>
        </is>
      </c>
    </row>
    <row r="218">
      <c r="A218" s="2" t="inlineStr">
        <is>
          <t>Sub-task</t>
        </is>
      </c>
      <c r="B218" s="2" t="inlineStr">
        <is>
          <t>CIN-SUB-200</t>
        </is>
      </c>
      <c r="C218" s="2" t="inlineStr">
        <is>
          <t>CIN-T-032</t>
        </is>
      </c>
      <c r="D218" s="2" t="inlineStr">
        <is>
          <t>Payment Error Handling</t>
        </is>
      </c>
      <c r="E218" s="2" t="inlineStr">
        <is>
          <t>PH-03</t>
        </is>
      </c>
      <c r="F218" s="2" t="inlineStr">
        <is>
          <t>Core Product Build</t>
        </is>
      </c>
      <c r="G218" s="2" t="inlineStr">
        <is>
          <t>CIN-T-032</t>
        </is>
      </c>
      <c r="H218" s="2" t="inlineStr">
        <is>
          <t>24120244</t>
        </is>
      </c>
      <c r="I218" s="2" t="inlineStr">
        <is>
          <t>Phan Van Viet</t>
        </is>
      </c>
      <c r="J218" s="2" t="inlineStr">
        <is>
          <t>Sprint 4</t>
        </is>
      </c>
      <c r="K218" s="2" t="inlineStr">
        <is>
          <t>24120271</t>
        </is>
      </c>
      <c r="L218" s="2" t="inlineStr">
        <is>
          <t>Nguyen Trung Chinh</t>
        </is>
      </c>
      <c r="M218" s="3" t="n">
        <v>46340</v>
      </c>
      <c r="N218" s="3" t="n">
        <v>46353</v>
      </c>
      <c r="O218" s="2" t="n">
        <v>3</v>
      </c>
      <c r="P218" s="2" t="inlineStr">
        <is>
          <t>ORIG-200</t>
        </is>
      </c>
      <c r="Q218" s="2" t="inlineStr">
        <is>
          <t>High</t>
        </is>
      </c>
      <c r="R218" s="2" t="inlineStr">
        <is>
          <t>Planned</t>
        </is>
      </c>
    </row>
    <row r="219">
      <c r="A219" s="6" t="inlineStr">
        <is>
          <t>Task</t>
        </is>
      </c>
      <c r="B219" s="6" t="inlineStr">
        <is>
          <t>CIN-T-033</t>
        </is>
      </c>
      <c r="C219" s="6" t="inlineStr">
        <is>
          <t>PH-03</t>
        </is>
      </c>
      <c r="D219" s="6" t="inlineStr">
        <is>
          <t>Áp dụng bảo vệ tài khoản, API, input và secrets</t>
        </is>
      </c>
      <c r="E219" s="6" t="inlineStr">
        <is>
          <t>PH-03</t>
        </is>
      </c>
      <c r="F219" s="6" t="inlineStr">
        <is>
          <t>Core Product Build</t>
        </is>
      </c>
      <c r="G219" s="6" t="inlineStr">
        <is>
          <t>CIN-T-033</t>
        </is>
      </c>
      <c r="H219" s="6" t="inlineStr">
        <is>
          <t>24120255</t>
        </is>
      </c>
      <c r="I219" s="6" t="inlineStr">
        <is>
          <t>Tran Thien An</t>
        </is>
      </c>
      <c r="J219" s="6" t="inlineStr">
        <is>
          <t>Sprint 3</t>
        </is>
      </c>
      <c r="K219" s="6" t="inlineStr"/>
      <c r="L219" s="6" t="inlineStr"/>
      <c r="M219" s="7" t="n">
        <v>46326</v>
      </c>
      <c r="N219" s="7" t="n">
        <v>46339</v>
      </c>
      <c r="O219" s="6">
        <f>SUMIFS('Master Subtasks'!$V$2:$V$293,'Master Subtasks'!$L$2:$L$293,$B219)</f>
        <v/>
      </c>
      <c r="P219" s="6" t="inlineStr"/>
      <c r="Q219" s="6" t="inlineStr">
        <is>
          <t>High</t>
        </is>
      </c>
      <c r="R219" s="6" t="inlineStr">
        <is>
          <t>Planned</t>
        </is>
      </c>
    </row>
    <row r="220">
      <c r="A220" s="2" t="inlineStr">
        <is>
          <t>Sub-task</t>
        </is>
      </c>
      <c r="B220" s="2" t="inlineStr">
        <is>
          <t>CIN-SUB-201</t>
        </is>
      </c>
      <c r="C220" s="2" t="inlineStr">
        <is>
          <t>CIN-T-033</t>
        </is>
      </c>
      <c r="D220" s="2" t="inlineStr">
        <is>
          <t>Password Security</t>
        </is>
      </c>
      <c r="E220" s="2" t="inlineStr">
        <is>
          <t>PH-03</t>
        </is>
      </c>
      <c r="F220" s="2" t="inlineStr">
        <is>
          <t>Core Product Build</t>
        </is>
      </c>
      <c r="G220" s="2" t="inlineStr">
        <is>
          <t>CIN-T-033</t>
        </is>
      </c>
      <c r="H220" s="2" t="inlineStr">
        <is>
          <t>24120255</t>
        </is>
      </c>
      <c r="I220" s="2" t="inlineStr">
        <is>
          <t>Tran Thien An</t>
        </is>
      </c>
      <c r="J220" s="2" t="inlineStr">
        <is>
          <t>Sprint 3</t>
        </is>
      </c>
      <c r="K220" s="2" t="inlineStr">
        <is>
          <t>24120255</t>
        </is>
      </c>
      <c r="L220" s="2" t="inlineStr">
        <is>
          <t>Tran Thien An</t>
        </is>
      </c>
      <c r="M220" s="3" t="n">
        <v>46326</v>
      </c>
      <c r="N220" s="3" t="n">
        <v>46339</v>
      </c>
      <c r="O220" s="2" t="n">
        <v>3</v>
      </c>
      <c r="P220" s="2" t="inlineStr">
        <is>
          <t>ORIG-201</t>
        </is>
      </c>
      <c r="Q220" s="2" t="inlineStr">
        <is>
          <t>High</t>
        </is>
      </c>
      <c r="R220" s="2" t="inlineStr">
        <is>
          <t>Planned</t>
        </is>
      </c>
    </row>
    <row r="221">
      <c r="A221" s="2" t="inlineStr">
        <is>
          <t>Sub-task</t>
        </is>
      </c>
      <c r="B221" s="2" t="inlineStr">
        <is>
          <t>CIN-SUB-202</t>
        </is>
      </c>
      <c r="C221" s="2" t="inlineStr">
        <is>
          <t>CIN-T-033</t>
        </is>
      </c>
      <c r="D221" s="2" t="inlineStr">
        <is>
          <t>API Security</t>
        </is>
      </c>
      <c r="E221" s="2" t="inlineStr">
        <is>
          <t>PH-03</t>
        </is>
      </c>
      <c r="F221" s="2" t="inlineStr">
        <is>
          <t>Core Product Build</t>
        </is>
      </c>
      <c r="G221" s="2" t="inlineStr">
        <is>
          <t>CIN-T-033</t>
        </is>
      </c>
      <c r="H221" s="2" t="inlineStr">
        <is>
          <t>24120255</t>
        </is>
      </c>
      <c r="I221" s="2" t="inlineStr">
        <is>
          <t>Tran Thien An</t>
        </is>
      </c>
      <c r="J221" s="2" t="inlineStr">
        <is>
          <t>Sprint 3</t>
        </is>
      </c>
      <c r="K221" s="2" t="inlineStr">
        <is>
          <t>24120235</t>
        </is>
      </c>
      <c r="L221" s="2" t="inlineStr">
        <is>
          <t>Huynh Thanh Tu</t>
        </is>
      </c>
      <c r="M221" s="3" t="n">
        <v>46326</v>
      </c>
      <c r="N221" s="3" t="n">
        <v>46339</v>
      </c>
      <c r="O221" s="2" t="n">
        <v>3</v>
      </c>
      <c r="P221" s="2" t="inlineStr">
        <is>
          <t>ORIG-202</t>
        </is>
      </c>
      <c r="Q221" s="2" t="inlineStr">
        <is>
          <t>High</t>
        </is>
      </c>
      <c r="R221" s="2" t="inlineStr">
        <is>
          <t>Planned</t>
        </is>
      </c>
    </row>
    <row r="222">
      <c r="A222" s="2" t="inlineStr">
        <is>
          <t>Sub-task</t>
        </is>
      </c>
      <c r="B222" s="2" t="inlineStr">
        <is>
          <t>CIN-SUB-203</t>
        </is>
      </c>
      <c r="C222" s="2" t="inlineStr">
        <is>
          <t>CIN-T-033</t>
        </is>
      </c>
      <c r="D222" s="2" t="inlineStr">
        <is>
          <t>CORS</t>
        </is>
      </c>
      <c r="E222" s="2" t="inlineStr">
        <is>
          <t>PH-03</t>
        </is>
      </c>
      <c r="F222" s="2" t="inlineStr">
        <is>
          <t>Core Product Build</t>
        </is>
      </c>
      <c r="G222" s="2" t="inlineStr">
        <is>
          <t>CIN-T-033</t>
        </is>
      </c>
      <c r="H222" s="2" t="inlineStr">
        <is>
          <t>24120255</t>
        </is>
      </c>
      <c r="I222" s="2" t="inlineStr">
        <is>
          <t>Tran Thien An</t>
        </is>
      </c>
      <c r="J222" s="2" t="inlineStr">
        <is>
          <t>Sprint 3</t>
        </is>
      </c>
      <c r="K222" s="2" t="inlineStr">
        <is>
          <t>24120244</t>
        </is>
      </c>
      <c r="L222" s="2" t="inlineStr">
        <is>
          <t>Phan Van Viet</t>
        </is>
      </c>
      <c r="M222" s="3" t="n">
        <v>46326</v>
      </c>
      <c r="N222" s="3" t="n">
        <v>46339</v>
      </c>
      <c r="O222" s="2" t="n">
        <v>2</v>
      </c>
      <c r="P222" s="2" t="inlineStr">
        <is>
          <t>ORIG-203</t>
        </is>
      </c>
      <c r="Q222" s="2" t="inlineStr">
        <is>
          <t>High</t>
        </is>
      </c>
      <c r="R222" s="2" t="inlineStr">
        <is>
          <t>Planned</t>
        </is>
      </c>
    </row>
    <row r="223">
      <c r="A223" s="2" t="inlineStr">
        <is>
          <t>Sub-task</t>
        </is>
      </c>
      <c r="B223" s="2" t="inlineStr">
        <is>
          <t>CIN-SUB-204</t>
        </is>
      </c>
      <c r="C223" s="2" t="inlineStr">
        <is>
          <t>CIN-T-033</t>
        </is>
      </c>
      <c r="D223" s="2" t="inlineStr">
        <is>
          <t>Input Security</t>
        </is>
      </c>
      <c r="E223" s="2" t="inlineStr">
        <is>
          <t>PH-03</t>
        </is>
      </c>
      <c r="F223" s="2" t="inlineStr">
        <is>
          <t>Core Product Build</t>
        </is>
      </c>
      <c r="G223" s="2" t="inlineStr">
        <is>
          <t>CIN-T-033</t>
        </is>
      </c>
      <c r="H223" s="2" t="inlineStr">
        <is>
          <t>24120255</t>
        </is>
      </c>
      <c r="I223" s="2" t="inlineStr">
        <is>
          <t>Tran Thien An</t>
        </is>
      </c>
      <c r="J223" s="2" t="inlineStr">
        <is>
          <t>Sprint 3</t>
        </is>
      </c>
      <c r="K223" s="2" t="inlineStr">
        <is>
          <t>24120098</t>
        </is>
      </c>
      <c r="L223" s="2" t="inlineStr">
        <is>
          <t>Nguyen Quoc Nam</t>
        </is>
      </c>
      <c r="M223" s="3" t="n">
        <v>46326</v>
      </c>
      <c r="N223" s="3" t="n">
        <v>46339</v>
      </c>
      <c r="O223" s="2" t="n">
        <v>3</v>
      </c>
      <c r="P223" s="2" t="inlineStr">
        <is>
          <t>ORIG-204</t>
        </is>
      </c>
      <c r="Q223" s="2" t="inlineStr">
        <is>
          <t>High</t>
        </is>
      </c>
      <c r="R223" s="2" t="inlineStr">
        <is>
          <t>Planned</t>
        </is>
      </c>
    </row>
    <row r="224">
      <c r="A224" s="2" t="inlineStr">
        <is>
          <t>Sub-task</t>
        </is>
      </c>
      <c r="B224" s="2" t="inlineStr">
        <is>
          <t>CIN-SUB-205</t>
        </is>
      </c>
      <c r="C224" s="2" t="inlineStr">
        <is>
          <t>CIN-T-033</t>
        </is>
      </c>
      <c r="D224" s="2" t="inlineStr">
        <is>
          <t>SQL Injection Protection</t>
        </is>
      </c>
      <c r="E224" s="2" t="inlineStr">
        <is>
          <t>PH-03</t>
        </is>
      </c>
      <c r="F224" s="2" t="inlineStr">
        <is>
          <t>Core Product Build</t>
        </is>
      </c>
      <c r="G224" s="2" t="inlineStr">
        <is>
          <t>CIN-T-033</t>
        </is>
      </c>
      <c r="H224" s="2" t="inlineStr">
        <is>
          <t>24120255</t>
        </is>
      </c>
      <c r="I224" s="2" t="inlineStr">
        <is>
          <t>Tran Thien An</t>
        </is>
      </c>
      <c r="J224" s="2" t="inlineStr">
        <is>
          <t>Sprint 3</t>
        </is>
      </c>
      <c r="K224" s="2" t="inlineStr">
        <is>
          <t>24120271</t>
        </is>
      </c>
      <c r="L224" s="2" t="inlineStr">
        <is>
          <t>Nguyen Trung Chinh</t>
        </is>
      </c>
      <c r="M224" s="3" t="n">
        <v>46326</v>
      </c>
      <c r="N224" s="3" t="n">
        <v>46339</v>
      </c>
      <c r="O224" s="2" t="n">
        <v>2</v>
      </c>
      <c r="P224" s="2" t="inlineStr">
        <is>
          <t>ORIG-205</t>
        </is>
      </c>
      <c r="Q224" s="2" t="inlineStr">
        <is>
          <t>High</t>
        </is>
      </c>
      <c r="R224" s="2" t="inlineStr">
        <is>
          <t>Planned</t>
        </is>
      </c>
    </row>
    <row r="225">
      <c r="A225" s="2" t="inlineStr">
        <is>
          <t>Sub-task</t>
        </is>
      </c>
      <c r="B225" s="2" t="inlineStr">
        <is>
          <t>CIN-SUB-206</t>
        </is>
      </c>
      <c r="C225" s="2" t="inlineStr">
        <is>
          <t>CIN-T-033</t>
        </is>
      </c>
      <c r="D225" s="2" t="inlineStr">
        <is>
          <t>Secrets Management</t>
        </is>
      </c>
      <c r="E225" s="2" t="inlineStr">
        <is>
          <t>PH-03</t>
        </is>
      </c>
      <c r="F225" s="2" t="inlineStr">
        <is>
          <t>Core Product Build</t>
        </is>
      </c>
      <c r="G225" s="2" t="inlineStr">
        <is>
          <t>CIN-T-033</t>
        </is>
      </c>
      <c r="H225" s="2" t="inlineStr">
        <is>
          <t>24120255</t>
        </is>
      </c>
      <c r="I225" s="2" t="inlineStr">
        <is>
          <t>Tran Thien An</t>
        </is>
      </c>
      <c r="J225" s="2" t="inlineStr">
        <is>
          <t>Sprint 3</t>
        </is>
      </c>
      <c r="K225" s="2" t="inlineStr">
        <is>
          <t>24120244</t>
        </is>
      </c>
      <c r="L225" s="2" t="inlineStr">
        <is>
          <t>Phan Van Viet</t>
        </is>
      </c>
      <c r="M225" s="3" t="n">
        <v>46326</v>
      </c>
      <c r="N225" s="3" t="n">
        <v>46339</v>
      </c>
      <c r="O225" s="2" t="n">
        <v>3</v>
      </c>
      <c r="P225" s="2" t="inlineStr">
        <is>
          <t>ORIG-206</t>
        </is>
      </c>
      <c r="Q225" s="2" t="inlineStr">
        <is>
          <t>High</t>
        </is>
      </c>
      <c r="R225" s="2" t="inlineStr">
        <is>
          <t>Planned</t>
        </is>
      </c>
    </row>
    <row r="226">
      <c r="A226" s="2" t="inlineStr">
        <is>
          <t>Sub-task</t>
        </is>
      </c>
      <c r="B226" s="2" t="inlineStr">
        <is>
          <t>CIN-SUB-207</t>
        </is>
      </c>
      <c r="C226" s="2" t="inlineStr">
        <is>
          <t>CIN-T-033</t>
        </is>
      </c>
      <c r="D226" s="2" t="inlineStr">
        <is>
          <t>HTTPS</t>
        </is>
      </c>
      <c r="E226" s="2" t="inlineStr">
        <is>
          <t>PH-03</t>
        </is>
      </c>
      <c r="F226" s="2" t="inlineStr">
        <is>
          <t>Core Product Build</t>
        </is>
      </c>
      <c r="G226" s="2" t="inlineStr">
        <is>
          <t>CIN-T-033</t>
        </is>
      </c>
      <c r="H226" s="2" t="inlineStr">
        <is>
          <t>24120255</t>
        </is>
      </c>
      <c r="I226" s="2" t="inlineStr">
        <is>
          <t>Tran Thien An</t>
        </is>
      </c>
      <c r="J226" s="2" t="inlineStr">
        <is>
          <t>Sprint 3</t>
        </is>
      </c>
      <c r="K226" s="2" t="inlineStr">
        <is>
          <t>24120255</t>
        </is>
      </c>
      <c r="L226" s="2" t="inlineStr">
        <is>
          <t>Tran Thien An</t>
        </is>
      </c>
      <c r="M226" s="3" t="n">
        <v>46326</v>
      </c>
      <c r="N226" s="3" t="n">
        <v>46339</v>
      </c>
      <c r="O226" s="2" t="n">
        <v>2</v>
      </c>
      <c r="P226" s="2" t="inlineStr">
        <is>
          <t>ORIG-207</t>
        </is>
      </c>
      <c r="Q226" s="2" t="inlineStr">
        <is>
          <t>High</t>
        </is>
      </c>
      <c r="R226" s="2" t="inlineStr">
        <is>
          <t>Planned</t>
        </is>
      </c>
    </row>
    <row r="227">
      <c r="A227" s="6" t="inlineStr">
        <is>
          <t>Task</t>
        </is>
      </c>
      <c r="B227" s="6" t="inlineStr">
        <is>
          <t>CIN-T-035</t>
        </is>
      </c>
      <c r="C227" s="6" t="inlineStr">
        <is>
          <t>PH-03</t>
        </is>
      </c>
      <c r="D227" s="6" t="inlineStr">
        <is>
          <t>Kiểm thử unit, integration và luồng đặt vé cốt lõi</t>
        </is>
      </c>
      <c r="E227" s="6" t="inlineStr">
        <is>
          <t>PH-03</t>
        </is>
      </c>
      <c r="F227" s="6" t="inlineStr">
        <is>
          <t>Core Product Build</t>
        </is>
      </c>
      <c r="G227" s="6" t="inlineStr">
        <is>
          <t>CIN-T-035</t>
        </is>
      </c>
      <c r="H227" s="6" t="inlineStr">
        <is>
          <t>24120235</t>
        </is>
      </c>
      <c r="I227" s="6" t="inlineStr">
        <is>
          <t>Huynh Thanh Tu</t>
        </is>
      </c>
      <c r="J227" s="6" t="inlineStr">
        <is>
          <t>Sprint 4</t>
        </is>
      </c>
      <c r="K227" s="6" t="inlineStr"/>
      <c r="L227" s="6" t="inlineStr"/>
      <c r="M227" s="7" t="n">
        <v>46340</v>
      </c>
      <c r="N227" s="7" t="n">
        <v>46353</v>
      </c>
      <c r="O227" s="6">
        <f>SUMIFS('Master Subtasks'!$V$2:$V$293,'Master Subtasks'!$L$2:$L$293,$B227)</f>
        <v/>
      </c>
      <c r="P227" s="6" t="inlineStr"/>
      <c r="Q227" s="6" t="inlineStr">
        <is>
          <t>High</t>
        </is>
      </c>
      <c r="R227" s="6" t="inlineStr">
        <is>
          <t>Planned</t>
        </is>
      </c>
    </row>
    <row r="228">
      <c r="A228" s="2" t="inlineStr">
        <is>
          <t>Sub-task</t>
        </is>
      </c>
      <c r="B228" s="2" t="inlineStr">
        <is>
          <t>CIN-SUB-209</t>
        </is>
      </c>
      <c r="C228" s="2" t="inlineStr">
        <is>
          <t>CIN-T-035</t>
        </is>
      </c>
      <c r="D228" s="2" t="inlineStr">
        <is>
          <t>Unit Test</t>
        </is>
      </c>
      <c r="E228" s="2" t="inlineStr">
        <is>
          <t>PH-03</t>
        </is>
      </c>
      <c r="F228" s="2" t="inlineStr">
        <is>
          <t>Core Product Build</t>
        </is>
      </c>
      <c r="G228" s="2" t="inlineStr">
        <is>
          <t>CIN-T-035</t>
        </is>
      </c>
      <c r="H228" s="2" t="inlineStr">
        <is>
          <t>24120235</t>
        </is>
      </c>
      <c r="I228" s="2" t="inlineStr">
        <is>
          <t>Huynh Thanh Tu</t>
        </is>
      </c>
      <c r="J228" s="2" t="inlineStr">
        <is>
          <t>Sprint 4</t>
        </is>
      </c>
      <c r="K228" s="2" t="inlineStr">
        <is>
          <t>24120235</t>
        </is>
      </c>
      <c r="L228" s="2" t="inlineStr">
        <is>
          <t>Huynh Thanh Tu</t>
        </is>
      </c>
      <c r="M228" s="3" t="n">
        <v>46340</v>
      </c>
      <c r="N228" s="3" t="n">
        <v>46353</v>
      </c>
      <c r="O228" s="2" t="n">
        <v>3</v>
      </c>
      <c r="P228" s="2" t="inlineStr">
        <is>
          <t>ORIG-209</t>
        </is>
      </c>
      <c r="Q228" s="2" t="inlineStr">
        <is>
          <t>High</t>
        </is>
      </c>
      <c r="R228" s="2" t="inlineStr">
        <is>
          <t>Planned</t>
        </is>
      </c>
    </row>
    <row r="229">
      <c r="A229" s="2" t="inlineStr">
        <is>
          <t>Sub-task</t>
        </is>
      </c>
      <c r="B229" s="2" t="inlineStr">
        <is>
          <t>CIN-SUB-210</t>
        </is>
      </c>
      <c r="C229" s="2" t="inlineStr">
        <is>
          <t>CIN-T-035</t>
        </is>
      </c>
      <c r="D229" s="2" t="inlineStr">
        <is>
          <t>Integration Test</t>
        </is>
      </c>
      <c r="E229" s="2" t="inlineStr">
        <is>
          <t>PH-03</t>
        </is>
      </c>
      <c r="F229" s="2" t="inlineStr">
        <is>
          <t>Core Product Build</t>
        </is>
      </c>
      <c r="G229" s="2" t="inlineStr">
        <is>
          <t>CIN-T-035</t>
        </is>
      </c>
      <c r="H229" s="2" t="inlineStr">
        <is>
          <t>24120235</t>
        </is>
      </c>
      <c r="I229" s="2" t="inlineStr">
        <is>
          <t>Huynh Thanh Tu</t>
        </is>
      </c>
      <c r="J229" s="2" t="inlineStr">
        <is>
          <t>Sprint 4</t>
        </is>
      </c>
      <c r="K229" s="2" t="inlineStr">
        <is>
          <t>24120098</t>
        </is>
      </c>
      <c r="L229" s="2" t="inlineStr">
        <is>
          <t>Nguyen Quoc Nam</t>
        </is>
      </c>
      <c r="M229" s="3" t="n">
        <v>46340</v>
      </c>
      <c r="N229" s="3" t="n">
        <v>46353</v>
      </c>
      <c r="O229" s="2" t="n">
        <v>3</v>
      </c>
      <c r="P229" s="2" t="inlineStr">
        <is>
          <t>ORIG-210</t>
        </is>
      </c>
      <c r="Q229" s="2" t="inlineStr">
        <is>
          <t>High</t>
        </is>
      </c>
      <c r="R229" s="2" t="inlineStr">
        <is>
          <t>Planned</t>
        </is>
      </c>
    </row>
    <row r="230">
      <c r="A230" s="2" t="inlineStr">
        <is>
          <t>Sub-task</t>
        </is>
      </c>
      <c r="B230" s="2" t="inlineStr">
        <is>
          <t>CIN-SUB-211</t>
        </is>
      </c>
      <c r="C230" s="2" t="inlineStr">
        <is>
          <t>CIN-T-035</t>
        </is>
      </c>
      <c r="D230" s="2" t="inlineStr">
        <is>
          <t>Authentication Test</t>
        </is>
      </c>
      <c r="E230" s="2" t="inlineStr">
        <is>
          <t>PH-03</t>
        </is>
      </c>
      <c r="F230" s="2" t="inlineStr">
        <is>
          <t>Core Product Build</t>
        </is>
      </c>
      <c r="G230" s="2" t="inlineStr">
        <is>
          <t>CIN-T-035</t>
        </is>
      </c>
      <c r="H230" s="2" t="inlineStr">
        <is>
          <t>24120235</t>
        </is>
      </c>
      <c r="I230" s="2" t="inlineStr">
        <is>
          <t>Huynh Thanh Tu</t>
        </is>
      </c>
      <c r="J230" s="2" t="inlineStr">
        <is>
          <t>Sprint 4</t>
        </is>
      </c>
      <c r="K230" s="2" t="inlineStr">
        <is>
          <t>24120255</t>
        </is>
      </c>
      <c r="L230" s="2" t="inlineStr">
        <is>
          <t>Tran Thien An</t>
        </is>
      </c>
      <c r="M230" s="3" t="n">
        <v>46340</v>
      </c>
      <c r="N230" s="3" t="n">
        <v>46353</v>
      </c>
      <c r="O230" s="2" t="n">
        <v>3</v>
      </c>
      <c r="P230" s="2" t="inlineStr">
        <is>
          <t>ORIG-211</t>
        </is>
      </c>
      <c r="Q230" s="2" t="inlineStr">
        <is>
          <t>High</t>
        </is>
      </c>
      <c r="R230" s="2" t="inlineStr">
        <is>
          <t>Planned</t>
        </is>
      </c>
    </row>
    <row r="231">
      <c r="A231" s="2" t="inlineStr">
        <is>
          <t>Sub-task</t>
        </is>
      </c>
      <c r="B231" s="2" t="inlineStr">
        <is>
          <t>CIN-SUB-212</t>
        </is>
      </c>
      <c r="C231" s="2" t="inlineStr">
        <is>
          <t>CIN-T-035</t>
        </is>
      </c>
      <c r="D231" s="2" t="inlineStr">
        <is>
          <t>Movie Test</t>
        </is>
      </c>
      <c r="E231" s="2" t="inlineStr">
        <is>
          <t>PH-03</t>
        </is>
      </c>
      <c r="F231" s="2" t="inlineStr">
        <is>
          <t>Core Product Build</t>
        </is>
      </c>
      <c r="G231" s="2" t="inlineStr">
        <is>
          <t>CIN-T-035</t>
        </is>
      </c>
      <c r="H231" s="2" t="inlineStr">
        <is>
          <t>24120235</t>
        </is>
      </c>
      <c r="I231" s="2" t="inlineStr">
        <is>
          <t>Huynh Thanh Tu</t>
        </is>
      </c>
      <c r="J231" s="2" t="inlineStr">
        <is>
          <t>Sprint 4</t>
        </is>
      </c>
      <c r="K231" s="2" t="inlineStr">
        <is>
          <t>24120244</t>
        </is>
      </c>
      <c r="L231" s="2" t="inlineStr">
        <is>
          <t>Phan Van Viet</t>
        </is>
      </c>
      <c r="M231" s="3" t="n">
        <v>46340</v>
      </c>
      <c r="N231" s="3" t="n">
        <v>46353</v>
      </c>
      <c r="O231" s="2" t="n">
        <v>3</v>
      </c>
      <c r="P231" s="2" t="inlineStr">
        <is>
          <t>ORIG-212</t>
        </is>
      </c>
      <c r="Q231" s="2" t="inlineStr">
        <is>
          <t>High</t>
        </is>
      </c>
      <c r="R231" s="2" t="inlineStr">
        <is>
          <t>Planned</t>
        </is>
      </c>
    </row>
    <row r="232">
      <c r="A232" s="2" t="inlineStr">
        <is>
          <t>Sub-task</t>
        </is>
      </c>
      <c r="B232" s="2" t="inlineStr">
        <is>
          <t>CIN-SUB-213</t>
        </is>
      </c>
      <c r="C232" s="2" t="inlineStr">
        <is>
          <t>CIN-T-035</t>
        </is>
      </c>
      <c r="D232" s="2" t="inlineStr">
        <is>
          <t>Showtime Test</t>
        </is>
      </c>
      <c r="E232" s="2" t="inlineStr">
        <is>
          <t>PH-03</t>
        </is>
      </c>
      <c r="F232" s="2" t="inlineStr">
        <is>
          <t>Core Product Build</t>
        </is>
      </c>
      <c r="G232" s="2" t="inlineStr">
        <is>
          <t>CIN-T-035</t>
        </is>
      </c>
      <c r="H232" s="2" t="inlineStr">
        <is>
          <t>24120235</t>
        </is>
      </c>
      <c r="I232" s="2" t="inlineStr">
        <is>
          <t>Huynh Thanh Tu</t>
        </is>
      </c>
      <c r="J232" s="2" t="inlineStr">
        <is>
          <t>Sprint 4</t>
        </is>
      </c>
      <c r="K232" s="2" t="inlineStr">
        <is>
          <t>24120271</t>
        </is>
      </c>
      <c r="L232" s="2" t="inlineStr">
        <is>
          <t>Nguyen Trung Chinh</t>
        </is>
      </c>
      <c r="M232" s="3" t="n">
        <v>46340</v>
      </c>
      <c r="N232" s="3" t="n">
        <v>46353</v>
      </c>
      <c r="O232" s="2" t="n">
        <v>3</v>
      </c>
      <c r="P232" s="2" t="inlineStr">
        <is>
          <t>ORIG-213</t>
        </is>
      </c>
      <c r="Q232" s="2" t="inlineStr">
        <is>
          <t>High</t>
        </is>
      </c>
      <c r="R232" s="2" t="inlineStr">
        <is>
          <t>Planned</t>
        </is>
      </c>
    </row>
    <row r="233">
      <c r="A233" s="2" t="inlineStr">
        <is>
          <t>Sub-task</t>
        </is>
      </c>
      <c r="B233" s="2" t="inlineStr">
        <is>
          <t>CIN-SUB-214</t>
        </is>
      </c>
      <c r="C233" s="2" t="inlineStr">
        <is>
          <t>CIN-T-035</t>
        </is>
      </c>
      <c r="D233" s="2" t="inlineStr">
        <is>
          <t>Seat Test</t>
        </is>
      </c>
      <c r="E233" s="2" t="inlineStr">
        <is>
          <t>PH-03</t>
        </is>
      </c>
      <c r="F233" s="2" t="inlineStr">
        <is>
          <t>Core Product Build</t>
        </is>
      </c>
      <c r="G233" s="2" t="inlineStr">
        <is>
          <t>CIN-T-035</t>
        </is>
      </c>
      <c r="H233" s="2" t="inlineStr">
        <is>
          <t>24120235</t>
        </is>
      </c>
      <c r="I233" s="2" t="inlineStr">
        <is>
          <t>Huynh Thanh Tu</t>
        </is>
      </c>
      <c r="J233" s="2" t="inlineStr">
        <is>
          <t>Sprint 4</t>
        </is>
      </c>
      <c r="K233" s="2" t="inlineStr">
        <is>
          <t>24120235</t>
        </is>
      </c>
      <c r="L233" s="2" t="inlineStr">
        <is>
          <t>Huynh Thanh Tu</t>
        </is>
      </c>
      <c r="M233" s="3" t="n">
        <v>46340</v>
      </c>
      <c r="N233" s="3" t="n">
        <v>46353</v>
      </c>
      <c r="O233" s="2" t="n">
        <v>3</v>
      </c>
      <c r="P233" s="2" t="inlineStr">
        <is>
          <t>ORIG-214</t>
        </is>
      </c>
      <c r="Q233" s="2" t="inlineStr">
        <is>
          <t>High</t>
        </is>
      </c>
      <c r="R233" s="2" t="inlineStr">
        <is>
          <t>Planned</t>
        </is>
      </c>
    </row>
    <row r="234">
      <c r="A234" s="2" t="inlineStr">
        <is>
          <t>Sub-task</t>
        </is>
      </c>
      <c r="B234" s="2" t="inlineStr">
        <is>
          <t>CIN-SUB-215</t>
        </is>
      </c>
      <c r="C234" s="2" t="inlineStr">
        <is>
          <t>CIN-T-035</t>
        </is>
      </c>
      <c r="D234" s="2" t="inlineStr">
        <is>
          <t>Booking Test</t>
        </is>
      </c>
      <c r="E234" s="2" t="inlineStr">
        <is>
          <t>PH-03</t>
        </is>
      </c>
      <c r="F234" s="2" t="inlineStr">
        <is>
          <t>Core Product Build</t>
        </is>
      </c>
      <c r="G234" s="2" t="inlineStr">
        <is>
          <t>CIN-T-035</t>
        </is>
      </c>
      <c r="H234" s="2" t="inlineStr">
        <is>
          <t>24120235</t>
        </is>
      </c>
      <c r="I234" s="2" t="inlineStr">
        <is>
          <t>Huynh Thanh Tu</t>
        </is>
      </c>
      <c r="J234" s="2" t="inlineStr">
        <is>
          <t>Sprint 4</t>
        </is>
      </c>
      <c r="K234" s="2" t="inlineStr">
        <is>
          <t>24120098</t>
        </is>
      </c>
      <c r="L234" s="2" t="inlineStr">
        <is>
          <t>Nguyen Quoc Nam</t>
        </is>
      </c>
      <c r="M234" s="3" t="n">
        <v>46340</v>
      </c>
      <c r="N234" s="3" t="n">
        <v>46353</v>
      </c>
      <c r="O234" s="2" t="n">
        <v>3</v>
      </c>
      <c r="P234" s="2" t="inlineStr">
        <is>
          <t>ORIG-215</t>
        </is>
      </c>
      <c r="Q234" s="2" t="inlineStr">
        <is>
          <t>High</t>
        </is>
      </c>
      <c r="R234" s="2" t="inlineStr">
        <is>
          <t>Planned</t>
        </is>
      </c>
    </row>
    <row r="235">
      <c r="A235" s="2" t="inlineStr">
        <is>
          <t>Sub-task</t>
        </is>
      </c>
      <c r="B235" s="2" t="inlineStr">
        <is>
          <t>CIN-SUB-216</t>
        </is>
      </c>
      <c r="C235" s="2" t="inlineStr">
        <is>
          <t>CIN-T-035</t>
        </is>
      </c>
      <c r="D235" s="2" t="inlineStr">
        <is>
          <t>Concurrency Test</t>
        </is>
      </c>
      <c r="E235" s="2" t="inlineStr">
        <is>
          <t>PH-03</t>
        </is>
      </c>
      <c r="F235" s="2" t="inlineStr">
        <is>
          <t>Core Product Build</t>
        </is>
      </c>
      <c r="G235" s="2" t="inlineStr">
        <is>
          <t>CIN-T-035</t>
        </is>
      </c>
      <c r="H235" s="2" t="inlineStr">
        <is>
          <t>24120235</t>
        </is>
      </c>
      <c r="I235" s="2" t="inlineStr">
        <is>
          <t>Huynh Thanh Tu</t>
        </is>
      </c>
      <c r="J235" s="2" t="inlineStr">
        <is>
          <t>Sprint 4</t>
        </is>
      </c>
      <c r="K235" s="2" t="inlineStr">
        <is>
          <t>24120255</t>
        </is>
      </c>
      <c r="L235" s="2" t="inlineStr">
        <is>
          <t>Tran Thien An</t>
        </is>
      </c>
      <c r="M235" s="3" t="n">
        <v>46340</v>
      </c>
      <c r="N235" s="3" t="n">
        <v>46353</v>
      </c>
      <c r="O235" s="2" t="n">
        <v>3</v>
      </c>
      <c r="P235" s="2" t="inlineStr">
        <is>
          <t>ORIG-216</t>
        </is>
      </c>
      <c r="Q235" s="2" t="inlineStr">
        <is>
          <t>High</t>
        </is>
      </c>
      <c r="R235" s="2" t="inlineStr">
        <is>
          <t>Planned</t>
        </is>
      </c>
    </row>
    <row r="236">
      <c r="A236" s="2" t="inlineStr">
        <is>
          <t>Sub-task</t>
        </is>
      </c>
      <c r="B236" s="2" t="inlineStr">
        <is>
          <t>CIN-SUB-217</t>
        </is>
      </c>
      <c r="C236" s="2" t="inlineStr">
        <is>
          <t>CIN-T-035</t>
        </is>
      </c>
      <c r="D236" s="2" t="inlineStr">
        <is>
          <t>Payment Test</t>
        </is>
      </c>
      <c r="E236" s="2" t="inlineStr">
        <is>
          <t>PH-03</t>
        </is>
      </c>
      <c r="F236" s="2" t="inlineStr">
        <is>
          <t>Core Product Build</t>
        </is>
      </c>
      <c r="G236" s="2" t="inlineStr">
        <is>
          <t>CIN-T-035</t>
        </is>
      </c>
      <c r="H236" s="2" t="inlineStr">
        <is>
          <t>24120235</t>
        </is>
      </c>
      <c r="I236" s="2" t="inlineStr">
        <is>
          <t>Huynh Thanh Tu</t>
        </is>
      </c>
      <c r="J236" s="2" t="inlineStr">
        <is>
          <t>Sprint 4</t>
        </is>
      </c>
      <c r="K236" s="2" t="inlineStr">
        <is>
          <t>24120244</t>
        </is>
      </c>
      <c r="L236" s="2" t="inlineStr">
        <is>
          <t>Phan Van Viet</t>
        </is>
      </c>
      <c r="M236" s="3" t="n">
        <v>46340</v>
      </c>
      <c r="N236" s="3" t="n">
        <v>46353</v>
      </c>
      <c r="O236" s="2" t="n">
        <v>3</v>
      </c>
      <c r="P236" s="2" t="inlineStr">
        <is>
          <t>ORIG-217</t>
        </is>
      </c>
      <c r="Q236" s="2" t="inlineStr">
        <is>
          <t>High</t>
        </is>
      </c>
      <c r="R236" s="2" t="inlineStr">
        <is>
          <t>Planned</t>
        </is>
      </c>
    </row>
    <row r="237">
      <c r="A237" s="2" t="inlineStr">
        <is>
          <t>Sub-task</t>
        </is>
      </c>
      <c r="B237" s="2" t="inlineStr">
        <is>
          <t>CIN-SUB-218</t>
        </is>
      </c>
      <c r="C237" s="2" t="inlineStr">
        <is>
          <t>CIN-T-035</t>
        </is>
      </c>
      <c r="D237" s="2" t="inlineStr">
        <is>
          <t>Ticket Test</t>
        </is>
      </c>
      <c r="E237" s="2" t="inlineStr">
        <is>
          <t>PH-03</t>
        </is>
      </c>
      <c r="F237" s="2" t="inlineStr">
        <is>
          <t>Core Product Build</t>
        </is>
      </c>
      <c r="G237" s="2" t="inlineStr">
        <is>
          <t>CIN-T-035</t>
        </is>
      </c>
      <c r="H237" s="2" t="inlineStr">
        <is>
          <t>24120235</t>
        </is>
      </c>
      <c r="I237" s="2" t="inlineStr">
        <is>
          <t>Huynh Thanh Tu</t>
        </is>
      </c>
      <c r="J237" s="2" t="inlineStr">
        <is>
          <t>Sprint 4</t>
        </is>
      </c>
      <c r="K237" s="2" t="inlineStr">
        <is>
          <t>24120271</t>
        </is>
      </c>
      <c r="L237" s="2" t="inlineStr">
        <is>
          <t>Nguyen Trung Chinh</t>
        </is>
      </c>
      <c r="M237" s="3" t="n">
        <v>46340</v>
      </c>
      <c r="N237" s="3" t="n">
        <v>46353</v>
      </c>
      <c r="O237" s="2" t="n">
        <v>3</v>
      </c>
      <c r="P237" s="2" t="inlineStr">
        <is>
          <t>ORIG-218</t>
        </is>
      </c>
      <c r="Q237" s="2" t="inlineStr">
        <is>
          <t>High</t>
        </is>
      </c>
      <c r="R237" s="2" t="inlineStr">
        <is>
          <t>Planned</t>
        </is>
      </c>
    </row>
    <row r="238">
      <c r="A238" s="2" t="inlineStr">
        <is>
          <t>Sub-task</t>
        </is>
      </c>
      <c r="B238" s="2" t="inlineStr">
        <is>
          <t>CIN-SUB-219</t>
        </is>
      </c>
      <c r="C238" s="2" t="inlineStr">
        <is>
          <t>CIN-T-035</t>
        </is>
      </c>
      <c r="D238" s="2" t="inlineStr">
        <is>
          <t>Frontend Test</t>
        </is>
      </c>
      <c r="E238" s="2" t="inlineStr">
        <is>
          <t>PH-03</t>
        </is>
      </c>
      <c r="F238" s="2" t="inlineStr">
        <is>
          <t>Core Product Build</t>
        </is>
      </c>
      <c r="G238" s="2" t="inlineStr">
        <is>
          <t>CIN-T-035</t>
        </is>
      </c>
      <c r="H238" s="2" t="inlineStr">
        <is>
          <t>24120235</t>
        </is>
      </c>
      <c r="I238" s="2" t="inlineStr">
        <is>
          <t>Huynh Thanh Tu</t>
        </is>
      </c>
      <c r="J238" s="2" t="inlineStr">
        <is>
          <t>Sprint 4</t>
        </is>
      </c>
      <c r="K238" s="2" t="inlineStr">
        <is>
          <t>24120235</t>
        </is>
      </c>
      <c r="L238" s="2" t="inlineStr">
        <is>
          <t>Huynh Thanh Tu</t>
        </is>
      </c>
      <c r="M238" s="3" t="n">
        <v>46340</v>
      </c>
      <c r="N238" s="3" t="n">
        <v>46353</v>
      </c>
      <c r="O238" s="2" t="n">
        <v>3</v>
      </c>
      <c r="P238" s="2" t="inlineStr">
        <is>
          <t>ORIG-219</t>
        </is>
      </c>
      <c r="Q238" s="2" t="inlineStr">
        <is>
          <t>High</t>
        </is>
      </c>
      <c r="R238" s="2" t="inlineStr">
        <is>
          <t>Planned</t>
        </is>
      </c>
    </row>
    <row r="239">
      <c r="A239" s="2" t="inlineStr">
        <is>
          <t>Sub-task</t>
        </is>
      </c>
      <c r="B239" s="2" t="inlineStr">
        <is>
          <t>CIN-SUB-220</t>
        </is>
      </c>
      <c r="C239" s="2" t="inlineStr">
        <is>
          <t>CIN-T-035</t>
        </is>
      </c>
      <c r="D239" s="2" t="inlineStr">
        <is>
          <t>End-to-End Test</t>
        </is>
      </c>
      <c r="E239" s="2" t="inlineStr">
        <is>
          <t>PH-03</t>
        </is>
      </c>
      <c r="F239" s="2" t="inlineStr">
        <is>
          <t>Core Product Build</t>
        </is>
      </c>
      <c r="G239" s="2" t="inlineStr">
        <is>
          <t>CIN-T-035</t>
        </is>
      </c>
      <c r="H239" s="2" t="inlineStr">
        <is>
          <t>24120235</t>
        </is>
      </c>
      <c r="I239" s="2" t="inlineStr">
        <is>
          <t>Huynh Thanh Tu</t>
        </is>
      </c>
      <c r="J239" s="2" t="inlineStr">
        <is>
          <t>Sprint 4</t>
        </is>
      </c>
      <c r="K239" s="2" t="inlineStr">
        <is>
          <t>24120098</t>
        </is>
      </c>
      <c r="L239" s="2" t="inlineStr">
        <is>
          <t>Nguyen Quoc Nam</t>
        </is>
      </c>
      <c r="M239" s="3" t="n">
        <v>46340</v>
      </c>
      <c r="N239" s="3" t="n">
        <v>46353</v>
      </c>
      <c r="O239" s="2" t="n">
        <v>3</v>
      </c>
      <c r="P239" s="2" t="inlineStr">
        <is>
          <t>ORIG-220</t>
        </is>
      </c>
      <c r="Q239" s="2" t="inlineStr">
        <is>
          <t>High</t>
        </is>
      </c>
      <c r="R239" s="2" t="inlineStr">
        <is>
          <t>Planned</t>
        </is>
      </c>
    </row>
    <row r="240">
      <c r="A240" s="6" t="inlineStr">
        <is>
          <t>Task</t>
        </is>
      </c>
      <c r="B240" s="6" t="inlineStr">
        <is>
          <t>CIN-T-043</t>
        </is>
      </c>
      <c r="C240" s="6" t="inlineStr">
        <is>
          <t>PH-03</t>
        </is>
      </c>
      <c r="D240" s="6" t="inlineStr">
        <is>
          <t>Hoàn thiện API và environment documentation</t>
        </is>
      </c>
      <c r="E240" s="6" t="inlineStr">
        <is>
          <t>PH-03</t>
        </is>
      </c>
      <c r="F240" s="6" t="inlineStr">
        <is>
          <t>Core Product Build</t>
        </is>
      </c>
      <c r="G240" s="6" t="inlineStr">
        <is>
          <t>CIN-T-043</t>
        </is>
      </c>
      <c r="H240" s="6" t="inlineStr">
        <is>
          <t>24120235</t>
        </is>
      </c>
      <c r="I240" s="6" t="inlineStr">
        <is>
          <t>Huynh Thanh Tu</t>
        </is>
      </c>
      <c r="J240" s="6" t="inlineStr">
        <is>
          <t>Sprint 3</t>
        </is>
      </c>
      <c r="K240" s="6" t="inlineStr"/>
      <c r="L240" s="6" t="inlineStr"/>
      <c r="M240" s="7" t="n">
        <v>46326</v>
      </c>
      <c r="N240" s="7" t="n">
        <v>46339</v>
      </c>
      <c r="O240" s="6">
        <f>SUMIFS('Master Subtasks'!$V$2:$V$293,'Master Subtasks'!$L$2:$L$293,$B240)</f>
        <v/>
      </c>
      <c r="P240" s="6" t="inlineStr"/>
      <c r="Q240" s="6" t="inlineStr">
        <is>
          <t>Medium</t>
        </is>
      </c>
      <c r="R240" s="6" t="inlineStr">
        <is>
          <t>Planned</t>
        </is>
      </c>
    </row>
    <row r="241">
      <c r="A241" s="2" t="inlineStr">
        <is>
          <t>Sub-task</t>
        </is>
      </c>
      <c r="B241" s="2" t="inlineStr">
        <is>
          <t>CIN-SUB-260</t>
        </is>
      </c>
      <c r="C241" s="2" t="inlineStr">
        <is>
          <t>CIN-T-043</t>
        </is>
      </c>
      <c r="D241" s="2" t="inlineStr">
        <is>
          <t>API Documentation</t>
        </is>
      </c>
      <c r="E241" s="2" t="inlineStr">
        <is>
          <t>PH-03</t>
        </is>
      </c>
      <c r="F241" s="2" t="inlineStr">
        <is>
          <t>Core Product Build</t>
        </is>
      </c>
      <c r="G241" s="2" t="inlineStr">
        <is>
          <t>CIN-T-043</t>
        </is>
      </c>
      <c r="H241" s="2" t="inlineStr">
        <is>
          <t>24120235</t>
        </is>
      </c>
      <c r="I241" s="2" t="inlineStr">
        <is>
          <t>Huynh Thanh Tu</t>
        </is>
      </c>
      <c r="J241" s="2" t="inlineStr">
        <is>
          <t>Sprint 3</t>
        </is>
      </c>
      <c r="K241" s="2" t="inlineStr">
        <is>
          <t>24120235</t>
        </is>
      </c>
      <c r="L241" s="2" t="inlineStr">
        <is>
          <t>Huynh Thanh Tu</t>
        </is>
      </c>
      <c r="M241" s="3" t="n">
        <v>46326</v>
      </c>
      <c r="N241" s="3" t="n">
        <v>46339</v>
      </c>
      <c r="O241" s="2" t="n">
        <v>3</v>
      </c>
      <c r="P241" s="2" t="inlineStr">
        <is>
          <t>ORIG-260</t>
        </is>
      </c>
      <c r="Q241" s="2" t="inlineStr">
        <is>
          <t>Medium</t>
        </is>
      </c>
      <c r="R241" s="2" t="inlineStr">
        <is>
          <t>Planned</t>
        </is>
      </c>
    </row>
    <row r="242">
      <c r="A242" s="2" t="inlineStr">
        <is>
          <t>Sub-task</t>
        </is>
      </c>
      <c r="B242" s="2" t="inlineStr">
        <is>
          <t>CIN-SUB-262</t>
        </is>
      </c>
      <c r="C242" s="2" t="inlineStr">
        <is>
          <t>CIN-T-043</t>
        </is>
      </c>
      <c r="D242" s="2" t="inlineStr">
        <is>
          <t>Environment Documentation</t>
        </is>
      </c>
      <c r="E242" s="2" t="inlineStr">
        <is>
          <t>PH-03</t>
        </is>
      </c>
      <c r="F242" s="2" t="inlineStr">
        <is>
          <t>Core Product Build</t>
        </is>
      </c>
      <c r="G242" s="2" t="inlineStr">
        <is>
          <t>CIN-T-043</t>
        </is>
      </c>
      <c r="H242" s="2" t="inlineStr">
        <is>
          <t>24120235</t>
        </is>
      </c>
      <c r="I242" s="2" t="inlineStr">
        <is>
          <t>Huynh Thanh Tu</t>
        </is>
      </c>
      <c r="J242" s="2" t="inlineStr">
        <is>
          <t>Sprint 3</t>
        </is>
      </c>
      <c r="K242" s="2" t="inlineStr">
        <is>
          <t>24120271</t>
        </is>
      </c>
      <c r="L242" s="2" t="inlineStr">
        <is>
          <t>Nguyen Trung Chinh</t>
        </is>
      </c>
      <c r="M242" s="3" t="n">
        <v>46326</v>
      </c>
      <c r="N242" s="3" t="n">
        <v>46339</v>
      </c>
      <c r="O242" s="2" t="n">
        <v>2</v>
      </c>
      <c r="P242" s="2" t="inlineStr">
        <is>
          <t>ORIG-262</t>
        </is>
      </c>
      <c r="Q242" s="2" t="inlineStr">
        <is>
          <t>Medium</t>
        </is>
      </c>
      <c r="R242" s="2" t="inlineStr">
        <is>
          <t>Planned</t>
        </is>
      </c>
    </row>
    <row r="243">
      <c r="A243" s="4" t="inlineStr">
        <is>
          <t>Phase</t>
        </is>
      </c>
      <c r="B243" s="4" t="inlineStr">
        <is>
          <t>PH-04</t>
        </is>
      </c>
      <c r="C243" s="4" t="inlineStr"/>
      <c r="D243" s="4" t="inlineStr">
        <is>
          <t>Release, Verification &amp; Handover</t>
        </is>
      </c>
      <c r="E243" s="4" t="inlineStr">
        <is>
          <t>PH-04</t>
        </is>
      </c>
      <c r="F243" s="4" t="inlineStr">
        <is>
          <t>Release, Verification &amp; Handover</t>
        </is>
      </c>
      <c r="G243" s="4" t="inlineStr"/>
      <c r="H243" s="4" t="inlineStr"/>
      <c r="I243" s="4" t="inlineStr"/>
      <c r="J243" s="4" t="inlineStr">
        <is>
          <t>Sprint 5</t>
        </is>
      </c>
      <c r="K243" s="4" t="inlineStr"/>
      <c r="L243" s="4" t="inlineStr"/>
      <c r="M243" s="5" t="n">
        <v>46354</v>
      </c>
      <c r="N243" s="5" t="n">
        <v>46368</v>
      </c>
      <c r="O243" s="4">
        <f>SUMIFS('Master Subtasks'!$V$2:$V$293,'Master Subtasks'!$J$2:$J$293,$B243)</f>
        <v/>
      </c>
      <c r="P243" s="4" t="inlineStr"/>
      <c r="Q243" s="4" t="inlineStr"/>
      <c r="R243" s="4" t="inlineStr">
        <is>
          <t>Planned</t>
        </is>
      </c>
    </row>
    <row r="244">
      <c r="A244" s="6" t="inlineStr">
        <is>
          <t>Task</t>
        </is>
      </c>
      <c r="B244" s="6" t="inlineStr">
        <is>
          <t>CIN-T-017</t>
        </is>
      </c>
      <c r="C244" s="6" t="inlineStr">
        <is>
          <t>PH-04</t>
        </is>
      </c>
      <c r="D244" s="6" t="inlineStr">
        <is>
          <t>Triển khai API user và statistics cơ bản</t>
        </is>
      </c>
      <c r="E244" s="6" t="inlineStr">
        <is>
          <t>PH-04</t>
        </is>
      </c>
      <c r="F244" s="6" t="inlineStr">
        <is>
          <t>Release, Verification &amp; Handover</t>
        </is>
      </c>
      <c r="G244" s="6" t="inlineStr">
        <is>
          <t>CIN-T-017</t>
        </is>
      </c>
      <c r="H244" s="6" t="inlineStr">
        <is>
          <t>24120255</t>
        </is>
      </c>
      <c r="I244" s="6" t="inlineStr">
        <is>
          <t>Tran Thien An</t>
        </is>
      </c>
      <c r="J244" s="6" t="inlineStr">
        <is>
          <t>Sprint 5</t>
        </is>
      </c>
      <c r="K244" s="6" t="inlineStr"/>
      <c r="L244" s="6" t="inlineStr"/>
      <c r="M244" s="7" t="n">
        <v>46354</v>
      </c>
      <c r="N244" s="7" t="n">
        <v>46368</v>
      </c>
      <c r="O244" s="6">
        <f>SUMIFS('Master Subtasks'!$V$2:$V$293,'Master Subtasks'!$L$2:$L$293,$B244)</f>
        <v/>
      </c>
      <c r="P244" s="6" t="inlineStr"/>
      <c r="Q244" s="6" t="inlineStr">
        <is>
          <t>Medium</t>
        </is>
      </c>
      <c r="R244" s="6" t="inlineStr">
        <is>
          <t>Planned</t>
        </is>
      </c>
    </row>
    <row r="245">
      <c r="A245" s="2" t="inlineStr">
        <is>
          <t>Sub-task</t>
        </is>
      </c>
      <c r="B245" s="2" t="inlineStr">
        <is>
          <t>CIN-SUB-099</t>
        </is>
      </c>
      <c r="C245" s="2" t="inlineStr">
        <is>
          <t>CIN-T-017</t>
        </is>
      </c>
      <c r="D245" s="2" t="inlineStr">
        <is>
          <t>API User</t>
        </is>
      </c>
      <c r="E245" s="2" t="inlineStr">
        <is>
          <t>PH-04</t>
        </is>
      </c>
      <c r="F245" s="2" t="inlineStr">
        <is>
          <t>Release, Verification &amp; Handover</t>
        </is>
      </c>
      <c r="G245" s="2" t="inlineStr">
        <is>
          <t>CIN-T-017</t>
        </is>
      </c>
      <c r="H245" s="2" t="inlineStr">
        <is>
          <t>24120255</t>
        </is>
      </c>
      <c r="I245" s="2" t="inlineStr">
        <is>
          <t>Tran Thien An</t>
        </is>
      </c>
      <c r="J245" s="2" t="inlineStr">
        <is>
          <t>Sprint 5</t>
        </is>
      </c>
      <c r="K245" s="2" t="inlineStr">
        <is>
          <t>24120255</t>
        </is>
      </c>
      <c r="L245" s="2" t="inlineStr">
        <is>
          <t>Tran Thien An</t>
        </is>
      </c>
      <c r="M245" s="3" t="n">
        <v>46354</v>
      </c>
      <c r="N245" s="3" t="n">
        <v>46368</v>
      </c>
      <c r="O245" s="2" t="n">
        <v>3</v>
      </c>
      <c r="P245" s="2" t="inlineStr">
        <is>
          <t>ORIG-099</t>
        </is>
      </c>
      <c r="Q245" s="2" t="inlineStr">
        <is>
          <t>Medium</t>
        </is>
      </c>
      <c r="R245" s="2" t="inlineStr">
        <is>
          <t>Planned</t>
        </is>
      </c>
    </row>
    <row r="246">
      <c r="A246" s="2" t="inlineStr">
        <is>
          <t>Sub-task</t>
        </is>
      </c>
      <c r="B246" s="2" t="inlineStr">
        <is>
          <t>CIN-SUB-100</t>
        </is>
      </c>
      <c r="C246" s="2" t="inlineStr">
        <is>
          <t>CIN-T-017</t>
        </is>
      </c>
      <c r="D246" s="2" t="inlineStr">
        <is>
          <t>API Statistics</t>
        </is>
      </c>
      <c r="E246" s="2" t="inlineStr">
        <is>
          <t>PH-04</t>
        </is>
      </c>
      <c r="F246" s="2" t="inlineStr">
        <is>
          <t>Release, Verification &amp; Handover</t>
        </is>
      </c>
      <c r="G246" s="2" t="inlineStr">
        <is>
          <t>CIN-T-017</t>
        </is>
      </c>
      <c r="H246" s="2" t="inlineStr">
        <is>
          <t>24120255</t>
        </is>
      </c>
      <c r="I246" s="2" t="inlineStr">
        <is>
          <t>Tran Thien An</t>
        </is>
      </c>
      <c r="J246" s="2" t="inlineStr">
        <is>
          <t>Sprint 5</t>
        </is>
      </c>
      <c r="K246" s="2" t="inlineStr">
        <is>
          <t>24120098</t>
        </is>
      </c>
      <c r="L246" s="2" t="inlineStr">
        <is>
          <t>Nguyen Quoc Nam</t>
        </is>
      </c>
      <c r="M246" s="3" t="n">
        <v>46354</v>
      </c>
      <c r="N246" s="3" t="n">
        <v>46368</v>
      </c>
      <c r="O246" s="2" t="n">
        <v>3</v>
      </c>
      <c r="P246" s="2" t="inlineStr">
        <is>
          <t>ORIG-100</t>
        </is>
      </c>
      <c r="Q246" s="2" t="inlineStr">
        <is>
          <t>Medium</t>
        </is>
      </c>
      <c r="R246" s="2" t="inlineStr">
        <is>
          <t>Planned</t>
        </is>
      </c>
    </row>
    <row r="247">
      <c r="A247" s="6" t="inlineStr">
        <is>
          <t>Task</t>
        </is>
      </c>
      <c r="B247" s="6" t="inlineStr">
        <is>
          <t>CIN-T-028</t>
        </is>
      </c>
      <c r="C247" s="6" t="inlineStr">
        <is>
          <t>PH-04</t>
        </is>
      </c>
      <c r="D247" s="6" t="inlineStr">
        <is>
          <t>Xây giao diện quản trị và nhân viên tối thiểu</t>
        </is>
      </c>
      <c r="E247" s="6" t="inlineStr">
        <is>
          <t>PH-04</t>
        </is>
      </c>
      <c r="F247" s="6" t="inlineStr">
        <is>
          <t>Release, Verification &amp; Handover</t>
        </is>
      </c>
      <c r="G247" s="6" t="inlineStr">
        <is>
          <t>CIN-T-028</t>
        </is>
      </c>
      <c r="H247" s="6" t="inlineStr">
        <is>
          <t>24120244</t>
        </is>
      </c>
      <c r="I247" s="6" t="inlineStr">
        <is>
          <t>Phan Van Viet</t>
        </is>
      </c>
      <c r="J247" s="6" t="inlineStr">
        <is>
          <t>Sprint 5</t>
        </is>
      </c>
      <c r="K247" s="6" t="inlineStr"/>
      <c r="L247" s="6" t="inlineStr"/>
      <c r="M247" s="7" t="n">
        <v>46354</v>
      </c>
      <c r="N247" s="7" t="n">
        <v>46368</v>
      </c>
      <c r="O247" s="6">
        <f>SUMIFS('Master Subtasks'!$V$2:$V$293,'Master Subtasks'!$L$2:$L$293,$B247)</f>
        <v/>
      </c>
      <c r="P247" s="6" t="inlineStr"/>
      <c r="Q247" s="6" t="inlineStr">
        <is>
          <t>Medium</t>
        </is>
      </c>
      <c r="R247" s="6" t="inlineStr">
        <is>
          <t>Planned</t>
        </is>
      </c>
    </row>
    <row r="248">
      <c r="A248" s="2" t="inlineStr">
        <is>
          <t>Sub-task</t>
        </is>
      </c>
      <c r="B248" s="2" t="inlineStr">
        <is>
          <t>CIN-SUB-166</t>
        </is>
      </c>
      <c r="C248" s="2" t="inlineStr">
        <is>
          <t>CIN-T-028</t>
        </is>
      </c>
      <c r="D248" s="2" t="inlineStr">
        <is>
          <t>Admin Layout</t>
        </is>
      </c>
      <c r="E248" s="2" t="inlineStr">
        <is>
          <t>PH-04</t>
        </is>
      </c>
      <c r="F248" s="2" t="inlineStr">
        <is>
          <t>Release, Verification &amp; Handover</t>
        </is>
      </c>
      <c r="G248" s="2" t="inlineStr">
        <is>
          <t>CIN-T-028</t>
        </is>
      </c>
      <c r="H248" s="2" t="inlineStr">
        <is>
          <t>24120244</t>
        </is>
      </c>
      <c r="I248" s="2" t="inlineStr">
        <is>
          <t>Phan Van Viet</t>
        </is>
      </c>
      <c r="J248" s="2" t="inlineStr">
        <is>
          <t>Sprint 5</t>
        </is>
      </c>
      <c r="K248" s="2" t="inlineStr">
        <is>
          <t>24120244</t>
        </is>
      </c>
      <c r="L248" s="2" t="inlineStr">
        <is>
          <t>Phan Van Viet</t>
        </is>
      </c>
      <c r="M248" s="3" t="n">
        <v>46354</v>
      </c>
      <c r="N248" s="3" t="n">
        <v>46368</v>
      </c>
      <c r="O248" s="2" t="n">
        <v>2</v>
      </c>
      <c r="P248" s="2" t="inlineStr">
        <is>
          <t>ORIG-166</t>
        </is>
      </c>
      <c r="Q248" s="2" t="inlineStr">
        <is>
          <t>Medium</t>
        </is>
      </c>
      <c r="R248" s="2" t="inlineStr">
        <is>
          <t>Planned</t>
        </is>
      </c>
    </row>
    <row r="249">
      <c r="A249" s="2" t="inlineStr">
        <is>
          <t>Sub-task</t>
        </is>
      </c>
      <c r="B249" s="2" t="inlineStr">
        <is>
          <t>CIN-SUB-167</t>
        </is>
      </c>
      <c r="C249" s="2" t="inlineStr">
        <is>
          <t>CIN-T-028</t>
        </is>
      </c>
      <c r="D249" s="2" t="inlineStr">
        <is>
          <t>Dashboard</t>
        </is>
      </c>
      <c r="E249" s="2" t="inlineStr">
        <is>
          <t>PH-04</t>
        </is>
      </c>
      <c r="F249" s="2" t="inlineStr">
        <is>
          <t>Release, Verification &amp; Handover</t>
        </is>
      </c>
      <c r="G249" s="2" t="inlineStr">
        <is>
          <t>CIN-T-028</t>
        </is>
      </c>
      <c r="H249" s="2" t="inlineStr">
        <is>
          <t>24120244</t>
        </is>
      </c>
      <c r="I249" s="2" t="inlineStr">
        <is>
          <t>Phan Van Viet</t>
        </is>
      </c>
      <c r="J249" s="2" t="inlineStr">
        <is>
          <t>Sprint 5</t>
        </is>
      </c>
      <c r="K249" s="2" t="inlineStr">
        <is>
          <t>24120271</t>
        </is>
      </c>
      <c r="L249" s="2" t="inlineStr">
        <is>
          <t>Nguyen Trung Chinh</t>
        </is>
      </c>
      <c r="M249" s="3" t="n">
        <v>46354</v>
      </c>
      <c r="N249" s="3" t="n">
        <v>46368</v>
      </c>
      <c r="O249" s="2" t="n">
        <v>2</v>
      </c>
      <c r="P249" s="2" t="inlineStr">
        <is>
          <t>ORIG-167</t>
        </is>
      </c>
      <c r="Q249" s="2" t="inlineStr">
        <is>
          <t>Medium</t>
        </is>
      </c>
      <c r="R249" s="2" t="inlineStr">
        <is>
          <t>Planned</t>
        </is>
      </c>
    </row>
    <row r="250">
      <c r="A250" s="2" t="inlineStr">
        <is>
          <t>Sub-task</t>
        </is>
      </c>
      <c r="B250" s="2" t="inlineStr">
        <is>
          <t>CIN-SUB-168</t>
        </is>
      </c>
      <c r="C250" s="2" t="inlineStr">
        <is>
          <t>CIN-T-028</t>
        </is>
      </c>
      <c r="D250" s="2" t="inlineStr">
        <is>
          <t>Quản lý Movie</t>
        </is>
      </c>
      <c r="E250" s="2" t="inlineStr">
        <is>
          <t>PH-04</t>
        </is>
      </c>
      <c r="F250" s="2" t="inlineStr">
        <is>
          <t>Release, Verification &amp; Handover</t>
        </is>
      </c>
      <c r="G250" s="2" t="inlineStr">
        <is>
          <t>CIN-T-028</t>
        </is>
      </c>
      <c r="H250" s="2" t="inlineStr">
        <is>
          <t>24120244</t>
        </is>
      </c>
      <c r="I250" s="2" t="inlineStr">
        <is>
          <t>Phan Van Viet</t>
        </is>
      </c>
      <c r="J250" s="2" t="inlineStr">
        <is>
          <t>Sprint 5</t>
        </is>
      </c>
      <c r="K250" s="2" t="inlineStr">
        <is>
          <t>24120235</t>
        </is>
      </c>
      <c r="L250" s="2" t="inlineStr">
        <is>
          <t>Huynh Thanh Tu</t>
        </is>
      </c>
      <c r="M250" s="3" t="n">
        <v>46354</v>
      </c>
      <c r="N250" s="3" t="n">
        <v>46368</v>
      </c>
      <c r="O250" s="2" t="n">
        <v>2</v>
      </c>
      <c r="P250" s="2" t="inlineStr">
        <is>
          <t>ORIG-168</t>
        </is>
      </c>
      <c r="Q250" s="2" t="inlineStr">
        <is>
          <t>Medium</t>
        </is>
      </c>
      <c r="R250" s="2" t="inlineStr">
        <is>
          <t>Planned</t>
        </is>
      </c>
    </row>
    <row r="251">
      <c r="A251" s="2" t="inlineStr">
        <is>
          <t>Sub-task</t>
        </is>
      </c>
      <c r="B251" s="2" t="inlineStr">
        <is>
          <t>CIN-SUB-169</t>
        </is>
      </c>
      <c r="C251" s="2" t="inlineStr">
        <is>
          <t>CIN-T-028</t>
        </is>
      </c>
      <c r="D251" s="2" t="inlineStr">
        <is>
          <t>Quản lý Cinema Room</t>
        </is>
      </c>
      <c r="E251" s="2" t="inlineStr">
        <is>
          <t>PH-04</t>
        </is>
      </c>
      <c r="F251" s="2" t="inlineStr">
        <is>
          <t>Release, Verification &amp; Handover</t>
        </is>
      </c>
      <c r="G251" s="2" t="inlineStr">
        <is>
          <t>CIN-T-028</t>
        </is>
      </c>
      <c r="H251" s="2" t="inlineStr">
        <is>
          <t>24120244</t>
        </is>
      </c>
      <c r="I251" s="2" t="inlineStr">
        <is>
          <t>Phan Van Viet</t>
        </is>
      </c>
      <c r="J251" s="2" t="inlineStr">
        <is>
          <t>Sprint 5</t>
        </is>
      </c>
      <c r="K251" s="2" t="inlineStr">
        <is>
          <t>24120244</t>
        </is>
      </c>
      <c r="L251" s="2" t="inlineStr">
        <is>
          <t>Phan Van Viet</t>
        </is>
      </c>
      <c r="M251" s="3" t="n">
        <v>46354</v>
      </c>
      <c r="N251" s="3" t="n">
        <v>46368</v>
      </c>
      <c r="O251" s="2" t="n">
        <v>2</v>
      </c>
      <c r="P251" s="2" t="inlineStr">
        <is>
          <t>ORIG-169</t>
        </is>
      </c>
      <c r="Q251" s="2" t="inlineStr">
        <is>
          <t>Medium</t>
        </is>
      </c>
      <c r="R251" s="2" t="inlineStr">
        <is>
          <t>Planned</t>
        </is>
      </c>
    </row>
    <row r="252">
      <c r="A252" s="2" t="inlineStr">
        <is>
          <t>Sub-task</t>
        </is>
      </c>
      <c r="B252" s="2" t="inlineStr">
        <is>
          <t>CIN-SUB-170</t>
        </is>
      </c>
      <c r="C252" s="2" t="inlineStr">
        <is>
          <t>CIN-T-028</t>
        </is>
      </c>
      <c r="D252" s="2" t="inlineStr">
        <is>
          <t>Quản lý Seat</t>
        </is>
      </c>
      <c r="E252" s="2" t="inlineStr">
        <is>
          <t>PH-04</t>
        </is>
      </c>
      <c r="F252" s="2" t="inlineStr">
        <is>
          <t>Release, Verification &amp; Handover</t>
        </is>
      </c>
      <c r="G252" s="2" t="inlineStr">
        <is>
          <t>CIN-T-028</t>
        </is>
      </c>
      <c r="H252" s="2" t="inlineStr">
        <is>
          <t>24120244</t>
        </is>
      </c>
      <c r="I252" s="2" t="inlineStr">
        <is>
          <t>Phan Van Viet</t>
        </is>
      </c>
      <c r="J252" s="2" t="inlineStr">
        <is>
          <t>Sprint 5</t>
        </is>
      </c>
      <c r="K252" s="2" t="inlineStr">
        <is>
          <t>24120271</t>
        </is>
      </c>
      <c r="L252" s="2" t="inlineStr">
        <is>
          <t>Nguyen Trung Chinh</t>
        </is>
      </c>
      <c r="M252" s="3" t="n">
        <v>46354</v>
      </c>
      <c r="N252" s="3" t="n">
        <v>46368</v>
      </c>
      <c r="O252" s="2" t="n">
        <v>2</v>
      </c>
      <c r="P252" s="2" t="inlineStr">
        <is>
          <t>ORIG-170</t>
        </is>
      </c>
      <c r="Q252" s="2" t="inlineStr">
        <is>
          <t>Medium</t>
        </is>
      </c>
      <c r="R252" s="2" t="inlineStr">
        <is>
          <t>Planned</t>
        </is>
      </c>
    </row>
    <row r="253">
      <c r="A253" s="2" t="inlineStr">
        <is>
          <t>Sub-task</t>
        </is>
      </c>
      <c r="B253" s="2" t="inlineStr">
        <is>
          <t>CIN-SUB-171</t>
        </is>
      </c>
      <c r="C253" s="2" t="inlineStr">
        <is>
          <t>CIN-T-028</t>
        </is>
      </c>
      <c r="D253" s="2" t="inlineStr">
        <is>
          <t>Quản lý Ticket Type</t>
        </is>
      </c>
      <c r="E253" s="2" t="inlineStr">
        <is>
          <t>PH-04</t>
        </is>
      </c>
      <c r="F253" s="2" t="inlineStr">
        <is>
          <t>Release, Verification &amp; Handover</t>
        </is>
      </c>
      <c r="G253" s="2" t="inlineStr">
        <is>
          <t>CIN-T-028</t>
        </is>
      </c>
      <c r="H253" s="2" t="inlineStr">
        <is>
          <t>24120244</t>
        </is>
      </c>
      <c r="I253" s="2" t="inlineStr">
        <is>
          <t>Phan Van Viet</t>
        </is>
      </c>
      <c r="J253" s="2" t="inlineStr">
        <is>
          <t>Sprint 5</t>
        </is>
      </c>
      <c r="K253" s="2" t="inlineStr">
        <is>
          <t>24120235</t>
        </is>
      </c>
      <c r="L253" s="2" t="inlineStr">
        <is>
          <t>Huynh Thanh Tu</t>
        </is>
      </c>
      <c r="M253" s="3" t="n">
        <v>46354</v>
      </c>
      <c r="N253" s="3" t="n">
        <v>46368</v>
      </c>
      <c r="O253" s="2" t="n">
        <v>3</v>
      </c>
      <c r="P253" s="2" t="inlineStr">
        <is>
          <t>ORIG-171</t>
        </is>
      </c>
      <c r="Q253" s="2" t="inlineStr">
        <is>
          <t>Medium</t>
        </is>
      </c>
      <c r="R253" s="2" t="inlineStr">
        <is>
          <t>Planned</t>
        </is>
      </c>
    </row>
    <row r="254">
      <c r="A254" s="2" t="inlineStr">
        <is>
          <t>Sub-task</t>
        </is>
      </c>
      <c r="B254" s="2" t="inlineStr">
        <is>
          <t>CIN-SUB-172</t>
        </is>
      </c>
      <c r="C254" s="2" t="inlineStr">
        <is>
          <t>CIN-T-028</t>
        </is>
      </c>
      <c r="D254" s="2" t="inlineStr">
        <is>
          <t>Quản lý Showtime</t>
        </is>
      </c>
      <c r="E254" s="2" t="inlineStr">
        <is>
          <t>PH-04</t>
        </is>
      </c>
      <c r="F254" s="2" t="inlineStr">
        <is>
          <t>Release, Verification &amp; Handover</t>
        </is>
      </c>
      <c r="G254" s="2" t="inlineStr">
        <is>
          <t>CIN-T-028</t>
        </is>
      </c>
      <c r="H254" s="2" t="inlineStr">
        <is>
          <t>24120244</t>
        </is>
      </c>
      <c r="I254" s="2" t="inlineStr">
        <is>
          <t>Phan Van Viet</t>
        </is>
      </c>
      <c r="J254" s="2" t="inlineStr">
        <is>
          <t>Sprint 5</t>
        </is>
      </c>
      <c r="K254" s="2" t="inlineStr">
        <is>
          <t>24120255</t>
        </is>
      </c>
      <c r="L254" s="2" t="inlineStr">
        <is>
          <t>Tran Thien An</t>
        </is>
      </c>
      <c r="M254" s="3" t="n">
        <v>46354</v>
      </c>
      <c r="N254" s="3" t="n">
        <v>46368</v>
      </c>
      <c r="O254" s="2" t="n">
        <v>2</v>
      </c>
      <c r="P254" s="2" t="inlineStr">
        <is>
          <t>ORIG-172</t>
        </is>
      </c>
      <c r="Q254" s="2" t="inlineStr">
        <is>
          <t>Medium</t>
        </is>
      </c>
      <c r="R254" s="2" t="inlineStr">
        <is>
          <t>Planned</t>
        </is>
      </c>
    </row>
    <row r="255">
      <c r="A255" s="2" t="inlineStr">
        <is>
          <t>Sub-task</t>
        </is>
      </c>
      <c r="B255" s="2" t="inlineStr">
        <is>
          <t>CIN-SUB-173</t>
        </is>
      </c>
      <c r="C255" s="2" t="inlineStr">
        <is>
          <t>CIN-T-028</t>
        </is>
      </c>
      <c r="D255" s="2" t="inlineStr">
        <is>
          <t>Quản lý Booking</t>
        </is>
      </c>
      <c r="E255" s="2" t="inlineStr">
        <is>
          <t>PH-04</t>
        </is>
      </c>
      <c r="F255" s="2" t="inlineStr">
        <is>
          <t>Release, Verification &amp; Handover</t>
        </is>
      </c>
      <c r="G255" s="2" t="inlineStr">
        <is>
          <t>CIN-T-028</t>
        </is>
      </c>
      <c r="H255" s="2" t="inlineStr">
        <is>
          <t>24120244</t>
        </is>
      </c>
      <c r="I255" s="2" t="inlineStr">
        <is>
          <t>Phan Van Viet</t>
        </is>
      </c>
      <c r="J255" s="2" t="inlineStr">
        <is>
          <t>Sprint 5</t>
        </is>
      </c>
      <c r="K255" s="2" t="inlineStr">
        <is>
          <t>24120098</t>
        </is>
      </c>
      <c r="L255" s="2" t="inlineStr">
        <is>
          <t>Nguyen Quoc Nam</t>
        </is>
      </c>
      <c r="M255" s="3" t="n">
        <v>46354</v>
      </c>
      <c r="N255" s="3" t="n">
        <v>46368</v>
      </c>
      <c r="O255" s="2" t="n">
        <v>3</v>
      </c>
      <c r="P255" s="2" t="inlineStr">
        <is>
          <t>ORIG-173</t>
        </is>
      </c>
      <c r="Q255" s="2" t="inlineStr">
        <is>
          <t>Medium</t>
        </is>
      </c>
      <c r="R255" s="2" t="inlineStr">
        <is>
          <t>Planned</t>
        </is>
      </c>
    </row>
    <row r="256">
      <c r="A256" s="2" t="inlineStr">
        <is>
          <t>Sub-task</t>
        </is>
      </c>
      <c r="B256" s="2" t="inlineStr">
        <is>
          <t>CIN-SUB-174</t>
        </is>
      </c>
      <c r="C256" s="2" t="inlineStr">
        <is>
          <t>CIN-T-028</t>
        </is>
      </c>
      <c r="D256" s="2" t="inlineStr">
        <is>
          <t>Quản lý Ticket</t>
        </is>
      </c>
      <c r="E256" s="2" t="inlineStr">
        <is>
          <t>PH-04</t>
        </is>
      </c>
      <c r="F256" s="2" t="inlineStr">
        <is>
          <t>Release, Verification &amp; Handover</t>
        </is>
      </c>
      <c r="G256" s="2" t="inlineStr">
        <is>
          <t>CIN-T-028</t>
        </is>
      </c>
      <c r="H256" s="2" t="inlineStr">
        <is>
          <t>24120244</t>
        </is>
      </c>
      <c r="I256" s="2" t="inlineStr">
        <is>
          <t>Phan Van Viet</t>
        </is>
      </c>
      <c r="J256" s="2" t="inlineStr">
        <is>
          <t>Sprint 5</t>
        </is>
      </c>
      <c r="K256" s="2" t="inlineStr">
        <is>
          <t>24120244</t>
        </is>
      </c>
      <c r="L256" s="2" t="inlineStr">
        <is>
          <t>Phan Van Viet</t>
        </is>
      </c>
      <c r="M256" s="3" t="n">
        <v>46354</v>
      </c>
      <c r="N256" s="3" t="n">
        <v>46368</v>
      </c>
      <c r="O256" s="2" t="n">
        <v>3</v>
      </c>
      <c r="P256" s="2" t="inlineStr">
        <is>
          <t>ORIG-174</t>
        </is>
      </c>
      <c r="Q256" s="2" t="inlineStr">
        <is>
          <t>Medium</t>
        </is>
      </c>
      <c r="R256" s="2" t="inlineStr">
        <is>
          <t>Planned</t>
        </is>
      </c>
    </row>
    <row r="257">
      <c r="A257" s="2" t="inlineStr">
        <is>
          <t>Sub-task</t>
        </is>
      </c>
      <c r="B257" s="2" t="inlineStr">
        <is>
          <t>CIN-SUB-175</t>
        </is>
      </c>
      <c r="C257" s="2" t="inlineStr">
        <is>
          <t>CIN-T-028</t>
        </is>
      </c>
      <c r="D257" s="2" t="inlineStr">
        <is>
          <t>Quản lý Payment</t>
        </is>
      </c>
      <c r="E257" s="2" t="inlineStr">
        <is>
          <t>PH-04</t>
        </is>
      </c>
      <c r="F257" s="2" t="inlineStr">
        <is>
          <t>Release, Verification &amp; Handover</t>
        </is>
      </c>
      <c r="G257" s="2" t="inlineStr">
        <is>
          <t>CIN-T-028</t>
        </is>
      </c>
      <c r="H257" s="2" t="inlineStr">
        <is>
          <t>24120244</t>
        </is>
      </c>
      <c r="I257" s="2" t="inlineStr">
        <is>
          <t>Phan Van Viet</t>
        </is>
      </c>
      <c r="J257" s="2" t="inlineStr">
        <is>
          <t>Sprint 5</t>
        </is>
      </c>
      <c r="K257" s="2" t="inlineStr">
        <is>
          <t>24120271</t>
        </is>
      </c>
      <c r="L257" s="2" t="inlineStr">
        <is>
          <t>Nguyen Trung Chinh</t>
        </is>
      </c>
      <c r="M257" s="3" t="n">
        <v>46354</v>
      </c>
      <c r="N257" s="3" t="n">
        <v>46368</v>
      </c>
      <c r="O257" s="2" t="n">
        <v>3</v>
      </c>
      <c r="P257" s="2" t="inlineStr">
        <is>
          <t>ORIG-175</t>
        </is>
      </c>
      <c r="Q257" s="2" t="inlineStr">
        <is>
          <t>Medium</t>
        </is>
      </c>
      <c r="R257" s="2" t="inlineStr">
        <is>
          <t>Planned</t>
        </is>
      </c>
    </row>
    <row r="258">
      <c r="A258" s="2" t="inlineStr">
        <is>
          <t>Sub-task</t>
        </is>
      </c>
      <c r="B258" s="2" t="inlineStr">
        <is>
          <t>CIN-SUB-176</t>
        </is>
      </c>
      <c r="C258" s="2" t="inlineStr">
        <is>
          <t>CIN-T-028</t>
        </is>
      </c>
      <c r="D258" s="2" t="inlineStr">
        <is>
          <t>Quản lý User</t>
        </is>
      </c>
      <c r="E258" s="2" t="inlineStr">
        <is>
          <t>PH-04</t>
        </is>
      </c>
      <c r="F258" s="2" t="inlineStr">
        <is>
          <t>Release, Verification &amp; Handover</t>
        </is>
      </c>
      <c r="G258" s="2" t="inlineStr">
        <is>
          <t>CIN-T-028</t>
        </is>
      </c>
      <c r="H258" s="2" t="inlineStr">
        <is>
          <t>24120244</t>
        </is>
      </c>
      <c r="I258" s="2" t="inlineStr">
        <is>
          <t>Phan Van Viet</t>
        </is>
      </c>
      <c r="J258" s="2" t="inlineStr">
        <is>
          <t>Sprint 5</t>
        </is>
      </c>
      <c r="K258" s="2" t="inlineStr">
        <is>
          <t>24120255</t>
        </is>
      </c>
      <c r="L258" s="2" t="inlineStr">
        <is>
          <t>Tran Thien An</t>
        </is>
      </c>
      <c r="M258" s="3" t="n">
        <v>46354</v>
      </c>
      <c r="N258" s="3" t="n">
        <v>46368</v>
      </c>
      <c r="O258" s="2" t="n">
        <v>2</v>
      </c>
      <c r="P258" s="2" t="inlineStr">
        <is>
          <t>ORIG-176</t>
        </is>
      </c>
      <c r="Q258" s="2" t="inlineStr">
        <is>
          <t>Medium</t>
        </is>
      </c>
      <c r="R258" s="2" t="inlineStr">
        <is>
          <t>Planned</t>
        </is>
      </c>
    </row>
    <row r="259">
      <c r="A259" s="6" t="inlineStr">
        <is>
          <t>Task</t>
        </is>
      </c>
      <c r="B259" s="6" t="inlineStr">
        <is>
          <t>CIN-T-029</t>
        </is>
      </c>
      <c r="C259" s="6" t="inlineStr">
        <is>
          <t>PH-04</t>
        </is>
      </c>
      <c r="D259" s="6" t="inlineStr">
        <is>
          <t>Bổ sung tìm kiếm và bộ lọc cần thiết</t>
        </is>
      </c>
      <c r="E259" s="6" t="inlineStr">
        <is>
          <t>PH-04</t>
        </is>
      </c>
      <c r="F259" s="6" t="inlineStr">
        <is>
          <t>Release, Verification &amp; Handover</t>
        </is>
      </c>
      <c r="G259" s="6" t="inlineStr">
        <is>
          <t>CIN-T-029</t>
        </is>
      </c>
      <c r="H259" s="6" t="inlineStr">
        <is>
          <t>24120244</t>
        </is>
      </c>
      <c r="I259" s="6" t="inlineStr">
        <is>
          <t>Phan Van Viet</t>
        </is>
      </c>
      <c r="J259" s="6" t="inlineStr">
        <is>
          <t>Sprint 5</t>
        </is>
      </c>
      <c r="K259" s="6" t="inlineStr"/>
      <c r="L259" s="6" t="inlineStr"/>
      <c r="M259" s="7" t="n">
        <v>46354</v>
      </c>
      <c r="N259" s="7" t="n">
        <v>46368</v>
      </c>
      <c r="O259" s="6">
        <f>SUMIFS('Master Subtasks'!$V$2:$V$293,'Master Subtasks'!$L$2:$L$293,$B259)</f>
        <v/>
      </c>
      <c r="P259" s="6" t="inlineStr"/>
      <c r="Q259" s="6" t="inlineStr">
        <is>
          <t>Medium</t>
        </is>
      </c>
      <c r="R259" s="6" t="inlineStr">
        <is>
          <t>Planned</t>
        </is>
      </c>
    </row>
    <row r="260">
      <c r="A260" s="2" t="inlineStr">
        <is>
          <t>Sub-task</t>
        </is>
      </c>
      <c r="B260" s="2" t="inlineStr">
        <is>
          <t>CIN-SUB-177</t>
        </is>
      </c>
      <c r="C260" s="2" t="inlineStr">
        <is>
          <t>CIN-T-029</t>
        </is>
      </c>
      <c r="D260" s="2" t="inlineStr">
        <is>
          <t>Tìm kiếm phim</t>
        </is>
      </c>
      <c r="E260" s="2" t="inlineStr">
        <is>
          <t>PH-04</t>
        </is>
      </c>
      <c r="F260" s="2" t="inlineStr">
        <is>
          <t>Release, Verification &amp; Handover</t>
        </is>
      </c>
      <c r="G260" s="2" t="inlineStr">
        <is>
          <t>CIN-T-029</t>
        </is>
      </c>
      <c r="H260" s="2" t="inlineStr">
        <is>
          <t>24120244</t>
        </is>
      </c>
      <c r="I260" s="2" t="inlineStr">
        <is>
          <t>Phan Van Viet</t>
        </is>
      </c>
      <c r="J260" s="2" t="inlineStr">
        <is>
          <t>Sprint 5</t>
        </is>
      </c>
      <c r="K260" s="2" t="inlineStr">
        <is>
          <t>24120235</t>
        </is>
      </c>
      <c r="L260" s="2" t="inlineStr">
        <is>
          <t>Huynh Thanh Tu</t>
        </is>
      </c>
      <c r="M260" s="3" t="n">
        <v>46354</v>
      </c>
      <c r="N260" s="3" t="n">
        <v>46368</v>
      </c>
      <c r="O260" s="2" t="n">
        <v>2</v>
      </c>
      <c r="P260" s="2" t="inlineStr">
        <is>
          <t>ORIG-177</t>
        </is>
      </c>
      <c r="Q260" s="2" t="inlineStr">
        <is>
          <t>Medium</t>
        </is>
      </c>
      <c r="R260" s="2" t="inlineStr">
        <is>
          <t>Planned</t>
        </is>
      </c>
    </row>
    <row r="261">
      <c r="A261" s="2" t="inlineStr">
        <is>
          <t>Sub-task</t>
        </is>
      </c>
      <c r="B261" s="2" t="inlineStr">
        <is>
          <t>CIN-SUB-178</t>
        </is>
      </c>
      <c r="C261" s="2" t="inlineStr">
        <is>
          <t>CIN-T-029</t>
        </is>
      </c>
      <c r="D261" s="2" t="inlineStr">
        <is>
          <t>Lọc phim</t>
        </is>
      </c>
      <c r="E261" s="2" t="inlineStr">
        <is>
          <t>PH-04</t>
        </is>
      </c>
      <c r="F261" s="2" t="inlineStr">
        <is>
          <t>Release, Verification &amp; Handover</t>
        </is>
      </c>
      <c r="G261" s="2" t="inlineStr">
        <is>
          <t>CIN-T-029</t>
        </is>
      </c>
      <c r="H261" s="2" t="inlineStr">
        <is>
          <t>24120244</t>
        </is>
      </c>
      <c r="I261" s="2" t="inlineStr">
        <is>
          <t>Phan Van Viet</t>
        </is>
      </c>
      <c r="J261" s="2" t="inlineStr">
        <is>
          <t>Sprint 5</t>
        </is>
      </c>
      <c r="K261" s="2" t="inlineStr">
        <is>
          <t>24120098</t>
        </is>
      </c>
      <c r="L261" s="2" t="inlineStr">
        <is>
          <t>Nguyen Quoc Nam</t>
        </is>
      </c>
      <c r="M261" s="3" t="n">
        <v>46354</v>
      </c>
      <c r="N261" s="3" t="n">
        <v>46368</v>
      </c>
      <c r="O261" s="2" t="n">
        <v>2</v>
      </c>
      <c r="P261" s="2" t="inlineStr">
        <is>
          <t>ORIG-178</t>
        </is>
      </c>
      <c r="Q261" s="2" t="inlineStr">
        <is>
          <t>Medium</t>
        </is>
      </c>
      <c r="R261" s="2" t="inlineStr">
        <is>
          <t>Planned</t>
        </is>
      </c>
    </row>
    <row r="262">
      <c r="A262" s="2" t="inlineStr">
        <is>
          <t>Sub-task</t>
        </is>
      </c>
      <c r="B262" s="2" t="inlineStr">
        <is>
          <t>CIN-SUB-179</t>
        </is>
      </c>
      <c r="C262" s="2" t="inlineStr">
        <is>
          <t>CIN-T-029</t>
        </is>
      </c>
      <c r="D262" s="2" t="inlineStr">
        <is>
          <t>Lọc Showtime</t>
        </is>
      </c>
      <c r="E262" s="2" t="inlineStr">
        <is>
          <t>PH-04</t>
        </is>
      </c>
      <c r="F262" s="2" t="inlineStr">
        <is>
          <t>Release, Verification &amp; Handover</t>
        </is>
      </c>
      <c r="G262" s="2" t="inlineStr">
        <is>
          <t>CIN-T-029</t>
        </is>
      </c>
      <c r="H262" s="2" t="inlineStr">
        <is>
          <t>24120244</t>
        </is>
      </c>
      <c r="I262" s="2" t="inlineStr">
        <is>
          <t>Phan Van Viet</t>
        </is>
      </c>
      <c r="J262" s="2" t="inlineStr">
        <is>
          <t>Sprint 5</t>
        </is>
      </c>
      <c r="K262" s="2" t="inlineStr">
        <is>
          <t>24120255</t>
        </is>
      </c>
      <c r="L262" s="2" t="inlineStr">
        <is>
          <t>Tran Thien An</t>
        </is>
      </c>
      <c r="M262" s="3" t="n">
        <v>46354</v>
      </c>
      <c r="N262" s="3" t="n">
        <v>46368</v>
      </c>
      <c r="O262" s="2" t="n">
        <v>2</v>
      </c>
      <c r="P262" s="2" t="inlineStr">
        <is>
          <t>ORIG-179</t>
        </is>
      </c>
      <c r="Q262" s="2" t="inlineStr">
        <is>
          <t>Medium</t>
        </is>
      </c>
      <c r="R262" s="2" t="inlineStr">
        <is>
          <t>Planned</t>
        </is>
      </c>
    </row>
    <row r="263">
      <c r="A263" s="2" t="inlineStr">
        <is>
          <t>Sub-task</t>
        </is>
      </c>
      <c r="B263" s="2" t="inlineStr">
        <is>
          <t>CIN-SUB-180</t>
        </is>
      </c>
      <c r="C263" s="2" t="inlineStr">
        <is>
          <t>CIN-T-029</t>
        </is>
      </c>
      <c r="D263" s="2" t="inlineStr">
        <is>
          <t>Tìm kiếm Booking</t>
        </is>
      </c>
      <c r="E263" s="2" t="inlineStr">
        <is>
          <t>PH-04</t>
        </is>
      </c>
      <c r="F263" s="2" t="inlineStr">
        <is>
          <t>Release, Verification &amp; Handover</t>
        </is>
      </c>
      <c r="G263" s="2" t="inlineStr">
        <is>
          <t>CIN-T-029</t>
        </is>
      </c>
      <c r="H263" s="2" t="inlineStr">
        <is>
          <t>24120244</t>
        </is>
      </c>
      <c r="I263" s="2" t="inlineStr">
        <is>
          <t>Phan Van Viet</t>
        </is>
      </c>
      <c r="J263" s="2" t="inlineStr">
        <is>
          <t>Sprint 5</t>
        </is>
      </c>
      <c r="K263" s="2" t="inlineStr">
        <is>
          <t>24120244</t>
        </is>
      </c>
      <c r="L263" s="2" t="inlineStr">
        <is>
          <t>Phan Van Viet</t>
        </is>
      </c>
      <c r="M263" s="3" t="n">
        <v>46354</v>
      </c>
      <c r="N263" s="3" t="n">
        <v>46368</v>
      </c>
      <c r="O263" s="2" t="n">
        <v>3</v>
      </c>
      <c r="P263" s="2" t="inlineStr">
        <is>
          <t>ORIG-180</t>
        </is>
      </c>
      <c r="Q263" s="2" t="inlineStr">
        <is>
          <t>Medium</t>
        </is>
      </c>
      <c r="R263" s="2" t="inlineStr">
        <is>
          <t>Planned</t>
        </is>
      </c>
    </row>
    <row r="264">
      <c r="A264" s="2" t="inlineStr">
        <is>
          <t>Sub-task</t>
        </is>
      </c>
      <c r="B264" s="2" t="inlineStr">
        <is>
          <t>CIN-SUB-181</t>
        </is>
      </c>
      <c r="C264" s="2" t="inlineStr">
        <is>
          <t>CIN-T-029</t>
        </is>
      </c>
      <c r="D264" s="2" t="inlineStr">
        <is>
          <t>Tìm kiếm User</t>
        </is>
      </c>
      <c r="E264" s="2" t="inlineStr">
        <is>
          <t>PH-04</t>
        </is>
      </c>
      <c r="F264" s="2" t="inlineStr">
        <is>
          <t>Release, Verification &amp; Handover</t>
        </is>
      </c>
      <c r="G264" s="2" t="inlineStr">
        <is>
          <t>CIN-T-029</t>
        </is>
      </c>
      <c r="H264" s="2" t="inlineStr">
        <is>
          <t>24120244</t>
        </is>
      </c>
      <c r="I264" s="2" t="inlineStr">
        <is>
          <t>Phan Van Viet</t>
        </is>
      </c>
      <c r="J264" s="2" t="inlineStr">
        <is>
          <t>Sprint 5</t>
        </is>
      </c>
      <c r="K264" s="2" t="inlineStr">
        <is>
          <t>24120271</t>
        </is>
      </c>
      <c r="L264" s="2" t="inlineStr">
        <is>
          <t>Nguyen Trung Chinh</t>
        </is>
      </c>
      <c r="M264" s="3" t="n">
        <v>46354</v>
      </c>
      <c r="N264" s="3" t="n">
        <v>46368</v>
      </c>
      <c r="O264" s="2" t="n">
        <v>2</v>
      </c>
      <c r="P264" s="2" t="inlineStr">
        <is>
          <t>ORIG-181</t>
        </is>
      </c>
      <c r="Q264" s="2" t="inlineStr">
        <is>
          <t>Medium</t>
        </is>
      </c>
      <c r="R264" s="2" t="inlineStr">
        <is>
          <t>Planned</t>
        </is>
      </c>
    </row>
    <row r="265">
      <c r="A265" s="6" t="inlineStr">
        <is>
          <t>Task</t>
        </is>
      </c>
      <c r="B265" s="6" t="inlineStr">
        <is>
          <t>CIN-T-030</t>
        </is>
      </c>
      <c r="C265" s="6" t="inlineStr">
        <is>
          <t>PH-04</t>
        </is>
      </c>
      <c r="D265" s="6" t="inlineStr">
        <is>
          <t>Xây báo cáo cơ bản và đánh giá export</t>
        </is>
      </c>
      <c r="E265" s="6" t="inlineStr">
        <is>
          <t>PH-04</t>
        </is>
      </c>
      <c r="F265" s="6" t="inlineStr">
        <is>
          <t>Release, Verification &amp; Handover</t>
        </is>
      </c>
      <c r="G265" s="6" t="inlineStr">
        <is>
          <t>CIN-T-030</t>
        </is>
      </c>
      <c r="H265" s="6" t="inlineStr">
        <is>
          <t>24120235</t>
        </is>
      </c>
      <c r="I265" s="6" t="inlineStr">
        <is>
          <t>Huynh Thanh Tu</t>
        </is>
      </c>
      <c r="J265" s="6" t="inlineStr">
        <is>
          <t>Sprint 5</t>
        </is>
      </c>
      <c r="K265" s="6" t="inlineStr"/>
      <c r="L265" s="6" t="inlineStr"/>
      <c r="M265" s="7" t="n">
        <v>46354</v>
      </c>
      <c r="N265" s="7" t="n">
        <v>46368</v>
      </c>
      <c r="O265" s="6">
        <f>SUMIFS('Master Subtasks'!$V$2:$V$293,'Master Subtasks'!$L$2:$L$293,$B265)</f>
        <v/>
      </c>
      <c r="P265" s="6" t="inlineStr"/>
      <c r="Q265" s="6" t="inlineStr">
        <is>
          <t>Medium</t>
        </is>
      </c>
      <c r="R265" s="6" t="inlineStr">
        <is>
          <t>Planned</t>
        </is>
      </c>
    </row>
    <row r="266">
      <c r="A266" s="2" t="inlineStr">
        <is>
          <t>Sub-task</t>
        </is>
      </c>
      <c r="B266" s="2" t="inlineStr">
        <is>
          <t>CIN-SUB-182</t>
        </is>
      </c>
      <c r="C266" s="2" t="inlineStr">
        <is>
          <t>CIN-T-030</t>
        </is>
      </c>
      <c r="D266" s="2" t="inlineStr">
        <is>
          <t>Dashboard Statistics</t>
        </is>
      </c>
      <c r="E266" s="2" t="inlineStr">
        <is>
          <t>PH-04</t>
        </is>
      </c>
      <c r="F266" s="2" t="inlineStr">
        <is>
          <t>Release, Verification &amp; Handover</t>
        </is>
      </c>
      <c r="G266" s="2" t="inlineStr">
        <is>
          <t>CIN-T-030</t>
        </is>
      </c>
      <c r="H266" s="2" t="inlineStr">
        <is>
          <t>24120235</t>
        </is>
      </c>
      <c r="I266" s="2" t="inlineStr">
        <is>
          <t>Huynh Thanh Tu</t>
        </is>
      </c>
      <c r="J266" s="2" t="inlineStr">
        <is>
          <t>Sprint 5</t>
        </is>
      </c>
      <c r="K266" s="2" t="inlineStr">
        <is>
          <t>24120235</t>
        </is>
      </c>
      <c r="L266" s="2" t="inlineStr">
        <is>
          <t>Huynh Thanh Tu</t>
        </is>
      </c>
      <c r="M266" s="3" t="n">
        <v>46354</v>
      </c>
      <c r="N266" s="3" t="n">
        <v>46368</v>
      </c>
      <c r="O266" s="2" t="n">
        <v>2</v>
      </c>
      <c r="P266" s="2" t="inlineStr">
        <is>
          <t>ORIG-182</t>
        </is>
      </c>
      <c r="Q266" s="2" t="inlineStr">
        <is>
          <t>Medium</t>
        </is>
      </c>
      <c r="R266" s="2" t="inlineStr">
        <is>
          <t>Planned</t>
        </is>
      </c>
    </row>
    <row r="267">
      <c r="A267" s="2" t="inlineStr">
        <is>
          <t>Sub-task</t>
        </is>
      </c>
      <c r="B267" s="2" t="inlineStr">
        <is>
          <t>CIN-SUB-183</t>
        </is>
      </c>
      <c r="C267" s="2" t="inlineStr">
        <is>
          <t>CIN-T-030</t>
        </is>
      </c>
      <c r="D267" s="2" t="inlineStr">
        <is>
          <t>Thống kê doanh thu</t>
        </is>
      </c>
      <c r="E267" s="2" t="inlineStr">
        <is>
          <t>PH-04</t>
        </is>
      </c>
      <c r="F267" s="2" t="inlineStr">
        <is>
          <t>Release, Verification &amp; Handover</t>
        </is>
      </c>
      <c r="G267" s="2" t="inlineStr">
        <is>
          <t>CIN-T-030</t>
        </is>
      </c>
      <c r="H267" s="2" t="inlineStr">
        <is>
          <t>24120235</t>
        </is>
      </c>
      <c r="I267" s="2" t="inlineStr">
        <is>
          <t>Huynh Thanh Tu</t>
        </is>
      </c>
      <c r="J267" s="2" t="inlineStr">
        <is>
          <t>Sprint 5</t>
        </is>
      </c>
      <c r="K267" s="2" t="inlineStr">
        <is>
          <t>24120098</t>
        </is>
      </c>
      <c r="L267" s="2" t="inlineStr">
        <is>
          <t>Nguyen Quoc Nam</t>
        </is>
      </c>
      <c r="M267" s="3" t="n">
        <v>46354</v>
      </c>
      <c r="N267" s="3" t="n">
        <v>46368</v>
      </c>
      <c r="O267" s="2" t="n">
        <v>3</v>
      </c>
      <c r="P267" s="2" t="inlineStr">
        <is>
          <t>ORIG-183</t>
        </is>
      </c>
      <c r="Q267" s="2" t="inlineStr">
        <is>
          <t>Medium</t>
        </is>
      </c>
      <c r="R267" s="2" t="inlineStr">
        <is>
          <t>Planned</t>
        </is>
      </c>
    </row>
    <row r="268">
      <c r="A268" s="2" t="inlineStr">
        <is>
          <t>Sub-task</t>
        </is>
      </c>
      <c r="B268" s="2" t="inlineStr">
        <is>
          <t>CIN-SUB-184</t>
        </is>
      </c>
      <c r="C268" s="2" t="inlineStr">
        <is>
          <t>CIN-T-030</t>
        </is>
      </c>
      <c r="D268" s="2" t="inlineStr">
        <is>
          <t>Thống kê vé</t>
        </is>
      </c>
      <c r="E268" s="2" t="inlineStr">
        <is>
          <t>PH-04</t>
        </is>
      </c>
      <c r="F268" s="2" t="inlineStr">
        <is>
          <t>Release, Verification &amp; Handover</t>
        </is>
      </c>
      <c r="G268" s="2" t="inlineStr">
        <is>
          <t>CIN-T-030</t>
        </is>
      </c>
      <c r="H268" s="2" t="inlineStr">
        <is>
          <t>24120235</t>
        </is>
      </c>
      <c r="I268" s="2" t="inlineStr">
        <is>
          <t>Huynh Thanh Tu</t>
        </is>
      </c>
      <c r="J268" s="2" t="inlineStr">
        <is>
          <t>Sprint 5</t>
        </is>
      </c>
      <c r="K268" s="2" t="inlineStr">
        <is>
          <t>24120255</t>
        </is>
      </c>
      <c r="L268" s="2" t="inlineStr">
        <is>
          <t>Tran Thien An</t>
        </is>
      </c>
      <c r="M268" s="3" t="n">
        <v>46354</v>
      </c>
      <c r="N268" s="3" t="n">
        <v>46368</v>
      </c>
      <c r="O268" s="2" t="n">
        <v>3</v>
      </c>
      <c r="P268" s="2" t="inlineStr">
        <is>
          <t>ORIG-184</t>
        </is>
      </c>
      <c r="Q268" s="2" t="inlineStr">
        <is>
          <t>Medium</t>
        </is>
      </c>
      <c r="R268" s="2" t="inlineStr">
        <is>
          <t>Planned</t>
        </is>
      </c>
    </row>
    <row r="269">
      <c r="A269" s="2" t="inlineStr">
        <is>
          <t>Sub-task</t>
        </is>
      </c>
      <c r="B269" s="2" t="inlineStr">
        <is>
          <t>CIN-SUB-185</t>
        </is>
      </c>
      <c r="C269" s="2" t="inlineStr">
        <is>
          <t>CIN-T-030</t>
        </is>
      </c>
      <c r="D269" s="2" t="inlineStr">
        <is>
          <t>Thống kê phim</t>
        </is>
      </c>
      <c r="E269" s="2" t="inlineStr">
        <is>
          <t>PH-04</t>
        </is>
      </c>
      <c r="F269" s="2" t="inlineStr">
        <is>
          <t>Release, Verification &amp; Handover</t>
        </is>
      </c>
      <c r="G269" s="2" t="inlineStr">
        <is>
          <t>CIN-T-030</t>
        </is>
      </c>
      <c r="H269" s="2" t="inlineStr">
        <is>
          <t>24120235</t>
        </is>
      </c>
      <c r="I269" s="2" t="inlineStr">
        <is>
          <t>Huynh Thanh Tu</t>
        </is>
      </c>
      <c r="J269" s="2" t="inlineStr">
        <is>
          <t>Sprint 5</t>
        </is>
      </c>
      <c r="K269" s="2" t="inlineStr">
        <is>
          <t>24120271</t>
        </is>
      </c>
      <c r="L269" s="2" t="inlineStr">
        <is>
          <t>Nguyen Trung Chinh</t>
        </is>
      </c>
      <c r="M269" s="3" t="n">
        <v>46354</v>
      </c>
      <c r="N269" s="3" t="n">
        <v>46368</v>
      </c>
      <c r="O269" s="2" t="n">
        <v>3</v>
      </c>
      <c r="P269" s="2" t="inlineStr">
        <is>
          <t>ORIG-185</t>
        </is>
      </c>
      <c r="Q269" s="2" t="inlineStr">
        <is>
          <t>Medium</t>
        </is>
      </c>
      <c r="R269" s="2" t="inlineStr">
        <is>
          <t>Planned</t>
        </is>
      </c>
    </row>
    <row r="270">
      <c r="A270" s="2" t="inlineStr">
        <is>
          <t>Sub-task</t>
        </is>
      </c>
      <c r="B270" s="2" t="inlineStr">
        <is>
          <t>CIN-SUB-186</t>
        </is>
      </c>
      <c r="C270" s="2" t="inlineStr">
        <is>
          <t>CIN-T-030</t>
        </is>
      </c>
      <c r="D270" s="2" t="inlineStr">
        <is>
          <t>Thống kê suất chiếu</t>
        </is>
      </c>
      <c r="E270" s="2" t="inlineStr">
        <is>
          <t>PH-04</t>
        </is>
      </c>
      <c r="F270" s="2" t="inlineStr">
        <is>
          <t>Release, Verification &amp; Handover</t>
        </is>
      </c>
      <c r="G270" s="2" t="inlineStr">
        <is>
          <t>CIN-T-030</t>
        </is>
      </c>
      <c r="H270" s="2" t="inlineStr">
        <is>
          <t>24120235</t>
        </is>
      </c>
      <c r="I270" s="2" t="inlineStr">
        <is>
          <t>Huynh Thanh Tu</t>
        </is>
      </c>
      <c r="J270" s="2" t="inlineStr">
        <is>
          <t>Sprint 5</t>
        </is>
      </c>
      <c r="K270" s="2" t="inlineStr">
        <is>
          <t>24120235</t>
        </is>
      </c>
      <c r="L270" s="2" t="inlineStr">
        <is>
          <t>Huynh Thanh Tu</t>
        </is>
      </c>
      <c r="M270" s="3" t="n">
        <v>46354</v>
      </c>
      <c r="N270" s="3" t="n">
        <v>46368</v>
      </c>
      <c r="O270" s="2" t="n">
        <v>3</v>
      </c>
      <c r="P270" s="2" t="inlineStr">
        <is>
          <t>ORIG-186</t>
        </is>
      </c>
      <c r="Q270" s="2" t="inlineStr">
        <is>
          <t>Medium</t>
        </is>
      </c>
      <c r="R270" s="2" t="inlineStr">
        <is>
          <t>Planned</t>
        </is>
      </c>
    </row>
    <row r="271">
      <c r="A271" s="2" t="inlineStr">
        <is>
          <t>Sub-task</t>
        </is>
      </c>
      <c r="B271" s="2" t="inlineStr">
        <is>
          <t>CIN-SUB-187</t>
        </is>
      </c>
      <c r="C271" s="2" t="inlineStr">
        <is>
          <t>CIN-T-030</t>
        </is>
      </c>
      <c r="D271" s="2" t="inlineStr">
        <is>
          <t>Thống kê phòng</t>
        </is>
      </c>
      <c r="E271" s="2" t="inlineStr">
        <is>
          <t>PH-04</t>
        </is>
      </c>
      <c r="F271" s="2" t="inlineStr">
        <is>
          <t>Release, Verification &amp; Handover</t>
        </is>
      </c>
      <c r="G271" s="2" t="inlineStr">
        <is>
          <t>CIN-T-030</t>
        </is>
      </c>
      <c r="H271" s="2" t="inlineStr">
        <is>
          <t>24120235</t>
        </is>
      </c>
      <c r="I271" s="2" t="inlineStr">
        <is>
          <t>Huynh Thanh Tu</t>
        </is>
      </c>
      <c r="J271" s="2" t="inlineStr">
        <is>
          <t>Sprint 5</t>
        </is>
      </c>
      <c r="K271" s="2" t="inlineStr">
        <is>
          <t>24120244</t>
        </is>
      </c>
      <c r="L271" s="2" t="inlineStr">
        <is>
          <t>Phan Van Viet</t>
        </is>
      </c>
      <c r="M271" s="3" t="n">
        <v>46354</v>
      </c>
      <c r="N271" s="3" t="n">
        <v>46368</v>
      </c>
      <c r="O271" s="2" t="n">
        <v>3</v>
      </c>
      <c r="P271" s="2" t="inlineStr">
        <is>
          <t>ORIG-187</t>
        </is>
      </c>
      <c r="Q271" s="2" t="inlineStr">
        <is>
          <t>Medium</t>
        </is>
      </c>
      <c r="R271" s="2" t="inlineStr">
        <is>
          <t>Planned</t>
        </is>
      </c>
    </row>
    <row r="272">
      <c r="A272" s="2" t="inlineStr">
        <is>
          <t>Sub-task</t>
        </is>
      </c>
      <c r="B272" s="2" t="inlineStr">
        <is>
          <t>CIN-SUB-188</t>
        </is>
      </c>
      <c r="C272" s="2" t="inlineStr">
        <is>
          <t>CIN-T-030</t>
        </is>
      </c>
      <c r="D272" s="2" t="inlineStr">
        <is>
          <t>Report Export</t>
        </is>
      </c>
      <c r="E272" s="2" t="inlineStr">
        <is>
          <t>PH-04</t>
        </is>
      </c>
      <c r="F272" s="2" t="inlineStr">
        <is>
          <t>Release, Verification &amp; Handover</t>
        </is>
      </c>
      <c r="G272" s="2" t="inlineStr">
        <is>
          <t>CIN-T-030</t>
        </is>
      </c>
      <c r="H272" s="2" t="inlineStr">
        <is>
          <t>24120235</t>
        </is>
      </c>
      <c r="I272" s="2" t="inlineStr">
        <is>
          <t>Huynh Thanh Tu</t>
        </is>
      </c>
      <c r="J272" s="2" t="inlineStr">
        <is>
          <t>Sprint 5</t>
        </is>
      </c>
      <c r="K272" s="2" t="inlineStr">
        <is>
          <t>24120098</t>
        </is>
      </c>
      <c r="L272" s="2" t="inlineStr">
        <is>
          <t>Nguyen Quoc Nam</t>
        </is>
      </c>
      <c r="M272" s="3" t="n">
        <v>46354</v>
      </c>
      <c r="N272" s="3" t="n">
        <v>46368</v>
      </c>
      <c r="O272" s="2" t="n">
        <v>1</v>
      </c>
      <c r="P272" s="2" t="inlineStr">
        <is>
          <t>ORIG-188</t>
        </is>
      </c>
      <c r="Q272" s="2" t="inlineStr">
        <is>
          <t>Medium</t>
        </is>
      </c>
      <c r="R272" s="2" t="inlineStr">
        <is>
          <t>Planned</t>
        </is>
      </c>
    </row>
    <row r="273">
      <c r="A273" s="6" t="inlineStr">
        <is>
          <t>Task</t>
        </is>
      </c>
      <c r="B273" s="6" t="inlineStr">
        <is>
          <t>CIN-T-031</t>
        </is>
      </c>
      <c r="C273" s="6" t="inlineStr">
        <is>
          <t>PH-04</t>
        </is>
      </c>
      <c r="D273" s="6" t="inlineStr">
        <is>
          <t>Đánh giá và triển khai AI movie assistant tùy chọn</t>
        </is>
      </c>
      <c r="E273" s="6" t="inlineStr">
        <is>
          <t>PH-04</t>
        </is>
      </c>
      <c r="F273" s="6" t="inlineStr">
        <is>
          <t>Release, Verification &amp; Handover</t>
        </is>
      </c>
      <c r="G273" s="6" t="inlineStr">
        <is>
          <t>CIN-T-031</t>
        </is>
      </c>
      <c r="H273" s="6" t="inlineStr">
        <is>
          <t>24120255</t>
        </is>
      </c>
      <c r="I273" s="6" t="inlineStr">
        <is>
          <t>Tran Thien An</t>
        </is>
      </c>
      <c r="J273" s="6" t="inlineStr">
        <is>
          <t>Sprint 5</t>
        </is>
      </c>
      <c r="K273" s="6" t="inlineStr"/>
      <c r="L273" s="6" t="inlineStr"/>
      <c r="M273" s="7" t="n">
        <v>46354</v>
      </c>
      <c r="N273" s="7" t="n">
        <v>46368</v>
      </c>
      <c r="O273" s="6">
        <f>SUMIFS('Master Subtasks'!$V$2:$V$293,'Master Subtasks'!$L$2:$L$293,$B273)</f>
        <v/>
      </c>
      <c r="P273" s="6" t="inlineStr"/>
      <c r="Q273" s="6" t="inlineStr">
        <is>
          <t>Low</t>
        </is>
      </c>
      <c r="R273" s="6" t="inlineStr">
        <is>
          <t>Planned</t>
        </is>
      </c>
    </row>
    <row r="274">
      <c r="A274" s="2" t="inlineStr">
        <is>
          <t>Sub-task</t>
        </is>
      </c>
      <c r="B274" s="2" t="inlineStr">
        <is>
          <t>CIN-SUB-189</t>
        </is>
      </c>
      <c r="C274" s="2" t="inlineStr">
        <is>
          <t>CIN-T-031</t>
        </is>
      </c>
      <c r="D274" s="2" t="inlineStr">
        <is>
          <t>Xác định chức năng AI</t>
        </is>
      </c>
      <c r="E274" s="2" t="inlineStr">
        <is>
          <t>PH-04</t>
        </is>
      </c>
      <c r="F274" s="2" t="inlineStr">
        <is>
          <t>Release, Verification &amp; Handover</t>
        </is>
      </c>
      <c r="G274" s="2" t="inlineStr">
        <is>
          <t>CIN-T-031</t>
        </is>
      </c>
      <c r="H274" s="2" t="inlineStr">
        <is>
          <t>24120255</t>
        </is>
      </c>
      <c r="I274" s="2" t="inlineStr">
        <is>
          <t>Tran Thien An</t>
        </is>
      </c>
      <c r="J274" s="2" t="inlineStr">
        <is>
          <t>Sprint 5</t>
        </is>
      </c>
      <c r="K274" s="2" t="inlineStr">
        <is>
          <t>24120255</t>
        </is>
      </c>
      <c r="L274" s="2" t="inlineStr">
        <is>
          <t>Tran Thien An</t>
        </is>
      </c>
      <c r="M274" s="3" t="n">
        <v>46354</v>
      </c>
      <c r="N274" s="3" t="n">
        <v>46368</v>
      </c>
      <c r="O274" s="2" t="n">
        <v>2</v>
      </c>
      <c r="P274" s="2" t="inlineStr">
        <is>
          <t>ORIG-189</t>
        </is>
      </c>
      <c r="Q274" s="2" t="inlineStr">
        <is>
          <t>Low</t>
        </is>
      </c>
      <c r="R274" s="2" t="inlineStr">
        <is>
          <t>Planned</t>
        </is>
      </c>
    </row>
    <row r="275">
      <c r="A275" s="2" t="inlineStr">
        <is>
          <t>Sub-task</t>
        </is>
      </c>
      <c r="B275" s="2" t="inlineStr">
        <is>
          <t>CIN-SUB-190</t>
        </is>
      </c>
      <c r="C275" s="2" t="inlineStr">
        <is>
          <t>CIN-T-031</t>
        </is>
      </c>
      <c r="D275" s="2" t="inlineStr">
        <is>
          <t>AI Movie Assistant</t>
        </is>
      </c>
      <c r="E275" s="2" t="inlineStr">
        <is>
          <t>PH-04</t>
        </is>
      </c>
      <c r="F275" s="2" t="inlineStr">
        <is>
          <t>Release, Verification &amp; Handover</t>
        </is>
      </c>
      <c r="G275" s="2" t="inlineStr">
        <is>
          <t>CIN-T-031</t>
        </is>
      </c>
      <c r="H275" s="2" t="inlineStr">
        <is>
          <t>24120255</t>
        </is>
      </c>
      <c r="I275" s="2" t="inlineStr">
        <is>
          <t>Tran Thien An</t>
        </is>
      </c>
      <c r="J275" s="2" t="inlineStr">
        <is>
          <t>Sprint 5</t>
        </is>
      </c>
      <c r="K275" s="2" t="inlineStr">
        <is>
          <t>24120271</t>
        </is>
      </c>
      <c r="L275" s="2" t="inlineStr">
        <is>
          <t>Nguyen Trung Chinh</t>
        </is>
      </c>
      <c r="M275" s="3" t="n">
        <v>46354</v>
      </c>
      <c r="N275" s="3" t="n">
        <v>46368</v>
      </c>
      <c r="O275" s="2" t="n">
        <v>2</v>
      </c>
      <c r="P275" s="2" t="inlineStr">
        <is>
          <t>ORIG-190</t>
        </is>
      </c>
      <c r="Q275" s="2" t="inlineStr">
        <is>
          <t>Low</t>
        </is>
      </c>
      <c r="R275" s="2" t="inlineStr">
        <is>
          <t>Planned</t>
        </is>
      </c>
    </row>
    <row r="276">
      <c r="A276" s="2" t="inlineStr">
        <is>
          <t>Sub-task</t>
        </is>
      </c>
      <c r="B276" s="2" t="inlineStr">
        <is>
          <t>CIN-SUB-191</t>
        </is>
      </c>
      <c r="C276" s="2" t="inlineStr">
        <is>
          <t>CIN-T-031</t>
        </is>
      </c>
      <c r="D276" s="2" t="inlineStr">
        <is>
          <t>AI Movie Recommendation</t>
        </is>
      </c>
      <c r="E276" s="2" t="inlineStr">
        <is>
          <t>PH-04</t>
        </is>
      </c>
      <c r="F276" s="2" t="inlineStr">
        <is>
          <t>Release, Verification &amp; Handover</t>
        </is>
      </c>
      <c r="G276" s="2" t="inlineStr">
        <is>
          <t>CIN-T-031</t>
        </is>
      </c>
      <c r="H276" s="2" t="inlineStr">
        <is>
          <t>24120255</t>
        </is>
      </c>
      <c r="I276" s="2" t="inlineStr">
        <is>
          <t>Tran Thien An</t>
        </is>
      </c>
      <c r="J276" s="2" t="inlineStr">
        <is>
          <t>Sprint 5</t>
        </is>
      </c>
      <c r="K276" s="2" t="inlineStr">
        <is>
          <t>24120098</t>
        </is>
      </c>
      <c r="L276" s="2" t="inlineStr">
        <is>
          <t>Nguyen Quoc Nam</t>
        </is>
      </c>
      <c r="M276" s="3" t="n">
        <v>46354</v>
      </c>
      <c r="N276" s="3" t="n">
        <v>46368</v>
      </c>
      <c r="O276" s="2" t="n">
        <v>2</v>
      </c>
      <c r="P276" s="2" t="inlineStr">
        <is>
          <t>ORIG-191</t>
        </is>
      </c>
      <c r="Q276" s="2" t="inlineStr">
        <is>
          <t>Low</t>
        </is>
      </c>
      <c r="R276" s="2" t="inlineStr">
        <is>
          <t>Planned</t>
        </is>
      </c>
    </row>
    <row r="277">
      <c r="A277" s="2" t="inlineStr">
        <is>
          <t>Sub-task</t>
        </is>
      </c>
      <c r="B277" s="2" t="inlineStr">
        <is>
          <t>CIN-SUB-192</t>
        </is>
      </c>
      <c r="C277" s="2" t="inlineStr">
        <is>
          <t>CIN-T-031</t>
        </is>
      </c>
      <c r="D277" s="2" t="inlineStr">
        <is>
          <t>AI API Integration</t>
        </is>
      </c>
      <c r="E277" s="2" t="inlineStr">
        <is>
          <t>PH-04</t>
        </is>
      </c>
      <c r="F277" s="2" t="inlineStr">
        <is>
          <t>Release, Verification &amp; Handover</t>
        </is>
      </c>
      <c r="G277" s="2" t="inlineStr">
        <is>
          <t>CIN-T-031</t>
        </is>
      </c>
      <c r="H277" s="2" t="inlineStr">
        <is>
          <t>24120255</t>
        </is>
      </c>
      <c r="I277" s="2" t="inlineStr">
        <is>
          <t>Tran Thien An</t>
        </is>
      </c>
      <c r="J277" s="2" t="inlineStr">
        <is>
          <t>Sprint 5</t>
        </is>
      </c>
      <c r="K277" s="2" t="inlineStr">
        <is>
          <t>24120235</t>
        </is>
      </c>
      <c r="L277" s="2" t="inlineStr">
        <is>
          <t>Huynh Thanh Tu</t>
        </is>
      </c>
      <c r="M277" s="3" t="n">
        <v>46354</v>
      </c>
      <c r="N277" s="3" t="n">
        <v>46368</v>
      </c>
      <c r="O277" s="2" t="n">
        <v>2</v>
      </c>
      <c r="P277" s="2" t="inlineStr">
        <is>
          <t>ORIG-192</t>
        </is>
      </c>
      <c r="Q277" s="2" t="inlineStr">
        <is>
          <t>Low</t>
        </is>
      </c>
      <c r="R277" s="2" t="inlineStr">
        <is>
          <t>Planned</t>
        </is>
      </c>
    </row>
    <row r="278">
      <c r="A278" s="2" t="inlineStr">
        <is>
          <t>Sub-task</t>
        </is>
      </c>
      <c r="B278" s="2" t="inlineStr">
        <is>
          <t>CIN-SUB-193</t>
        </is>
      </c>
      <c r="C278" s="2" t="inlineStr">
        <is>
          <t>CIN-T-031</t>
        </is>
      </c>
      <c r="D278" s="2" t="inlineStr">
        <is>
          <t>AI Error Handling</t>
        </is>
      </c>
      <c r="E278" s="2" t="inlineStr">
        <is>
          <t>PH-04</t>
        </is>
      </c>
      <c r="F278" s="2" t="inlineStr">
        <is>
          <t>Release, Verification &amp; Handover</t>
        </is>
      </c>
      <c r="G278" s="2" t="inlineStr">
        <is>
          <t>CIN-T-031</t>
        </is>
      </c>
      <c r="H278" s="2" t="inlineStr">
        <is>
          <t>24120255</t>
        </is>
      </c>
      <c r="I278" s="2" t="inlineStr">
        <is>
          <t>Tran Thien An</t>
        </is>
      </c>
      <c r="J278" s="2" t="inlineStr">
        <is>
          <t>Sprint 5</t>
        </is>
      </c>
      <c r="K278" s="2" t="inlineStr">
        <is>
          <t>24120244</t>
        </is>
      </c>
      <c r="L278" s="2" t="inlineStr">
        <is>
          <t>Phan Van Viet</t>
        </is>
      </c>
      <c r="M278" s="3" t="n">
        <v>46354</v>
      </c>
      <c r="N278" s="3" t="n">
        <v>46368</v>
      </c>
      <c r="O278" s="2" t="n">
        <v>2</v>
      </c>
      <c r="P278" s="2" t="inlineStr">
        <is>
          <t>ORIG-193</t>
        </is>
      </c>
      <c r="Q278" s="2" t="inlineStr">
        <is>
          <t>Low</t>
        </is>
      </c>
      <c r="R278" s="2" t="inlineStr">
        <is>
          <t>Planned</t>
        </is>
      </c>
    </row>
    <row r="279">
      <c r="A279" s="6" t="inlineStr">
        <is>
          <t>Task</t>
        </is>
      </c>
      <c r="B279" s="6" t="inlineStr">
        <is>
          <t>CIN-T-034</t>
        </is>
      </c>
      <c r="C279" s="6" t="inlineStr">
        <is>
          <t>PH-04</t>
        </is>
      </c>
      <c r="D279" s="6" t="inlineStr">
        <is>
          <t>Đánh giá security headers nâng cao</t>
        </is>
      </c>
      <c r="E279" s="6" t="inlineStr">
        <is>
          <t>PH-04</t>
        </is>
      </c>
      <c r="F279" s="6" t="inlineStr">
        <is>
          <t>Release, Verification &amp; Handover</t>
        </is>
      </c>
      <c r="G279" s="6" t="inlineStr">
        <is>
          <t>CIN-T-034</t>
        </is>
      </c>
      <c r="H279" s="6" t="inlineStr">
        <is>
          <t>24120255</t>
        </is>
      </c>
      <c r="I279" s="6" t="inlineStr">
        <is>
          <t>Tran Thien An</t>
        </is>
      </c>
      <c r="J279" s="6" t="inlineStr">
        <is>
          <t>Sprint 5</t>
        </is>
      </c>
      <c r="K279" s="6" t="inlineStr"/>
      <c r="L279" s="6" t="inlineStr"/>
      <c r="M279" s="7" t="n">
        <v>46354</v>
      </c>
      <c r="N279" s="7" t="n">
        <v>46368</v>
      </c>
      <c r="O279" s="6">
        <f>SUMIFS('Master Subtasks'!$V$2:$V$293,'Master Subtasks'!$L$2:$L$293,$B279)</f>
        <v/>
      </c>
      <c r="P279" s="6" t="inlineStr"/>
      <c r="Q279" s="6" t="inlineStr">
        <is>
          <t>Low</t>
        </is>
      </c>
      <c r="R279" s="6" t="inlineStr">
        <is>
          <t>Planned</t>
        </is>
      </c>
    </row>
    <row r="280">
      <c r="A280" s="2" t="inlineStr">
        <is>
          <t>Sub-task</t>
        </is>
      </c>
      <c r="B280" s="2" t="inlineStr">
        <is>
          <t>CIN-SUB-208</t>
        </is>
      </c>
      <c r="C280" s="2" t="inlineStr">
        <is>
          <t>CIN-T-034</t>
        </is>
      </c>
      <c r="D280" s="2" t="inlineStr">
        <is>
          <t>Security Headers</t>
        </is>
      </c>
      <c r="E280" s="2" t="inlineStr">
        <is>
          <t>PH-04</t>
        </is>
      </c>
      <c r="F280" s="2" t="inlineStr">
        <is>
          <t>Release, Verification &amp; Handover</t>
        </is>
      </c>
      <c r="G280" s="2" t="inlineStr">
        <is>
          <t>CIN-T-034</t>
        </is>
      </c>
      <c r="H280" s="2" t="inlineStr">
        <is>
          <t>24120255</t>
        </is>
      </c>
      <c r="I280" s="2" t="inlineStr">
        <is>
          <t>Tran Thien An</t>
        </is>
      </c>
      <c r="J280" s="2" t="inlineStr">
        <is>
          <t>Sprint 5</t>
        </is>
      </c>
      <c r="K280" s="2" t="inlineStr">
        <is>
          <t>24120255</t>
        </is>
      </c>
      <c r="L280" s="2" t="inlineStr">
        <is>
          <t>Tran Thien An</t>
        </is>
      </c>
      <c r="M280" s="3" t="n">
        <v>46354</v>
      </c>
      <c r="N280" s="3" t="n">
        <v>46368</v>
      </c>
      <c r="O280" s="2" t="n">
        <v>2</v>
      </c>
      <c r="P280" s="2" t="inlineStr">
        <is>
          <t>ORIG-208</t>
        </is>
      </c>
      <c r="Q280" s="2" t="inlineStr">
        <is>
          <t>Low</t>
        </is>
      </c>
      <c r="R280" s="2" t="inlineStr">
        <is>
          <t>Planned</t>
        </is>
      </c>
    </row>
    <row r="281">
      <c r="A281" s="6" t="inlineStr">
        <is>
          <t>Task</t>
        </is>
      </c>
      <c r="B281" s="6" t="inlineStr">
        <is>
          <t>CIN-T-036</t>
        </is>
      </c>
      <c r="C281" s="6" t="inlineStr">
        <is>
          <t>PH-04</t>
        </is>
      </c>
      <c r="D281" s="6" t="inlineStr">
        <is>
          <t>Chạy kiểm thử hồi quy trước khi bàn giao</t>
        </is>
      </c>
      <c r="E281" s="6" t="inlineStr">
        <is>
          <t>PH-04</t>
        </is>
      </c>
      <c r="F281" s="6" t="inlineStr">
        <is>
          <t>Release, Verification &amp; Handover</t>
        </is>
      </c>
      <c r="G281" s="6" t="inlineStr">
        <is>
          <t>CIN-T-036</t>
        </is>
      </c>
      <c r="H281" s="6" t="inlineStr">
        <is>
          <t>24120271</t>
        </is>
      </c>
      <c r="I281" s="6" t="inlineStr">
        <is>
          <t>Nguyen Trung Chinh</t>
        </is>
      </c>
      <c r="J281" s="6" t="inlineStr">
        <is>
          <t>Sprint 5</t>
        </is>
      </c>
      <c r="K281" s="6" t="inlineStr"/>
      <c r="L281" s="6" t="inlineStr"/>
      <c r="M281" s="7" t="n">
        <v>46354</v>
      </c>
      <c r="N281" s="7" t="n">
        <v>46368</v>
      </c>
      <c r="O281" s="6">
        <f>SUMIFS('Master Subtasks'!$V$2:$V$293,'Master Subtasks'!$L$2:$L$293,$B281)</f>
        <v/>
      </c>
      <c r="P281" s="6" t="inlineStr"/>
      <c r="Q281" s="6" t="inlineStr">
        <is>
          <t>High</t>
        </is>
      </c>
      <c r="R281" s="6" t="inlineStr">
        <is>
          <t>Planned</t>
        </is>
      </c>
    </row>
    <row r="282">
      <c r="A282" s="2" t="inlineStr">
        <is>
          <t>Sub-task</t>
        </is>
      </c>
      <c r="B282" s="2" t="inlineStr">
        <is>
          <t>CIN-SUB-221</t>
        </is>
      </c>
      <c r="C282" s="2" t="inlineStr">
        <is>
          <t>CIN-T-036</t>
        </is>
      </c>
      <c r="D282" s="2" t="inlineStr">
        <is>
          <t>Regression Test</t>
        </is>
      </c>
      <c r="E282" s="2" t="inlineStr">
        <is>
          <t>PH-04</t>
        </is>
      </c>
      <c r="F282" s="2" t="inlineStr">
        <is>
          <t>Release, Verification &amp; Handover</t>
        </is>
      </c>
      <c r="G282" s="2" t="inlineStr">
        <is>
          <t>CIN-T-036</t>
        </is>
      </c>
      <c r="H282" s="2" t="inlineStr">
        <is>
          <t>24120271</t>
        </is>
      </c>
      <c r="I282" s="2" t="inlineStr">
        <is>
          <t>Nguyen Trung Chinh</t>
        </is>
      </c>
      <c r="J282" s="2" t="inlineStr">
        <is>
          <t>Sprint 5</t>
        </is>
      </c>
      <c r="K282" s="2" t="inlineStr">
        <is>
          <t>24120271</t>
        </is>
      </c>
      <c r="L282" s="2" t="inlineStr">
        <is>
          <t>Nguyen Trung Chinh</t>
        </is>
      </c>
      <c r="M282" s="3" t="n">
        <v>46354</v>
      </c>
      <c r="N282" s="3" t="n">
        <v>46368</v>
      </c>
      <c r="O282" s="2" t="n">
        <v>3</v>
      </c>
      <c r="P282" s="2" t="inlineStr">
        <is>
          <t>ORIG-221</t>
        </is>
      </c>
      <c r="Q282" s="2" t="inlineStr">
        <is>
          <t>High</t>
        </is>
      </c>
      <c r="R282" s="2" t="inlineStr">
        <is>
          <t>Planned</t>
        </is>
      </c>
    </row>
    <row r="283">
      <c r="A283" s="6" t="inlineStr">
        <is>
          <t>Task</t>
        </is>
      </c>
      <c r="B283" s="6" t="inlineStr">
        <is>
          <t>CIN-T-038</t>
        </is>
      </c>
      <c r="C283" s="6" t="inlineStr">
        <is>
          <t>PH-04</t>
        </is>
      </c>
      <c r="D283" s="6" t="inlineStr">
        <is>
          <t>Tự động hóa build, test và kiểm tra chất lượng</t>
        </is>
      </c>
      <c r="E283" s="6" t="inlineStr">
        <is>
          <t>PH-04</t>
        </is>
      </c>
      <c r="F283" s="6" t="inlineStr">
        <is>
          <t>Release, Verification &amp; Handover</t>
        </is>
      </c>
      <c r="G283" s="6" t="inlineStr">
        <is>
          <t>CIN-T-038</t>
        </is>
      </c>
      <c r="H283" s="6" t="inlineStr">
        <is>
          <t>24120235</t>
        </is>
      </c>
      <c r="I283" s="6" t="inlineStr">
        <is>
          <t>Huynh Thanh Tu</t>
        </is>
      </c>
      <c r="J283" s="6" t="inlineStr">
        <is>
          <t>Sprint 5</t>
        </is>
      </c>
      <c r="K283" s="6" t="inlineStr"/>
      <c r="L283" s="6" t="inlineStr"/>
      <c r="M283" s="7" t="n">
        <v>46354</v>
      </c>
      <c r="N283" s="7" t="n">
        <v>46368</v>
      </c>
      <c r="O283" s="6">
        <f>SUMIFS('Master Subtasks'!$V$2:$V$293,'Master Subtasks'!$L$2:$L$293,$B283)</f>
        <v/>
      </c>
      <c r="P283" s="6" t="inlineStr"/>
      <c r="Q283" s="6" t="inlineStr">
        <is>
          <t>Medium</t>
        </is>
      </c>
      <c r="R283" s="6" t="inlineStr">
        <is>
          <t>Planned</t>
        </is>
      </c>
    </row>
    <row r="284">
      <c r="A284" s="2" t="inlineStr">
        <is>
          <t>Sub-task</t>
        </is>
      </c>
      <c r="B284" s="2" t="inlineStr">
        <is>
          <t>CIN-SUB-228</t>
        </is>
      </c>
      <c r="C284" s="2" t="inlineStr">
        <is>
          <t>CIN-T-038</t>
        </is>
      </c>
      <c r="D284" s="2" t="inlineStr">
        <is>
          <t>Thiết lập CI</t>
        </is>
      </c>
      <c r="E284" s="2" t="inlineStr">
        <is>
          <t>PH-04</t>
        </is>
      </c>
      <c r="F284" s="2" t="inlineStr">
        <is>
          <t>Release, Verification &amp; Handover</t>
        </is>
      </c>
      <c r="G284" s="2" t="inlineStr">
        <is>
          <t>CIN-T-038</t>
        </is>
      </c>
      <c r="H284" s="2" t="inlineStr">
        <is>
          <t>24120235</t>
        </is>
      </c>
      <c r="I284" s="2" t="inlineStr">
        <is>
          <t>Huynh Thanh Tu</t>
        </is>
      </c>
      <c r="J284" s="2" t="inlineStr">
        <is>
          <t>Sprint 5</t>
        </is>
      </c>
      <c r="K284" s="2" t="inlineStr">
        <is>
          <t>24120235</t>
        </is>
      </c>
      <c r="L284" s="2" t="inlineStr">
        <is>
          <t>Huynh Thanh Tu</t>
        </is>
      </c>
      <c r="M284" s="3" t="n">
        <v>46354</v>
      </c>
      <c r="N284" s="3" t="n">
        <v>46368</v>
      </c>
      <c r="O284" s="2" t="n">
        <v>2</v>
      </c>
      <c r="P284" s="2" t="inlineStr">
        <is>
          <t>ORIG-228</t>
        </is>
      </c>
      <c r="Q284" s="2" t="inlineStr">
        <is>
          <t>Medium</t>
        </is>
      </c>
      <c r="R284" s="2" t="inlineStr">
        <is>
          <t>Planned</t>
        </is>
      </c>
    </row>
    <row r="285">
      <c r="A285" s="2" t="inlineStr">
        <is>
          <t>Sub-task</t>
        </is>
      </c>
      <c r="B285" s="2" t="inlineStr">
        <is>
          <t>CIN-SUB-229</t>
        </is>
      </c>
      <c r="C285" s="2" t="inlineStr">
        <is>
          <t>CIN-T-038</t>
        </is>
      </c>
      <c r="D285" s="2" t="inlineStr">
        <is>
          <t>Backend Build</t>
        </is>
      </c>
      <c r="E285" s="2" t="inlineStr">
        <is>
          <t>PH-04</t>
        </is>
      </c>
      <c r="F285" s="2" t="inlineStr">
        <is>
          <t>Release, Verification &amp; Handover</t>
        </is>
      </c>
      <c r="G285" s="2" t="inlineStr">
        <is>
          <t>CIN-T-038</t>
        </is>
      </c>
      <c r="H285" s="2" t="inlineStr">
        <is>
          <t>24120235</t>
        </is>
      </c>
      <c r="I285" s="2" t="inlineStr">
        <is>
          <t>Huynh Thanh Tu</t>
        </is>
      </c>
      <c r="J285" s="2" t="inlineStr">
        <is>
          <t>Sprint 5</t>
        </is>
      </c>
      <c r="K285" s="2" t="inlineStr">
        <is>
          <t>24120098</t>
        </is>
      </c>
      <c r="L285" s="2" t="inlineStr">
        <is>
          <t>Nguyen Quoc Nam</t>
        </is>
      </c>
      <c r="M285" s="3" t="n">
        <v>46354</v>
      </c>
      <c r="N285" s="3" t="n">
        <v>46368</v>
      </c>
      <c r="O285" s="2" t="n">
        <v>2</v>
      </c>
      <c r="P285" s="2" t="inlineStr">
        <is>
          <t>ORIG-229</t>
        </is>
      </c>
      <c r="Q285" s="2" t="inlineStr">
        <is>
          <t>Medium</t>
        </is>
      </c>
      <c r="R285" s="2" t="inlineStr">
        <is>
          <t>Planned</t>
        </is>
      </c>
    </row>
    <row r="286">
      <c r="A286" s="2" t="inlineStr">
        <is>
          <t>Sub-task</t>
        </is>
      </c>
      <c r="B286" s="2" t="inlineStr">
        <is>
          <t>CIN-SUB-230</t>
        </is>
      </c>
      <c r="C286" s="2" t="inlineStr">
        <is>
          <t>CIN-T-038</t>
        </is>
      </c>
      <c r="D286" s="2" t="inlineStr">
        <is>
          <t>Frontend Build</t>
        </is>
      </c>
      <c r="E286" s="2" t="inlineStr">
        <is>
          <t>PH-04</t>
        </is>
      </c>
      <c r="F286" s="2" t="inlineStr">
        <is>
          <t>Release, Verification &amp; Handover</t>
        </is>
      </c>
      <c r="G286" s="2" t="inlineStr">
        <is>
          <t>CIN-T-038</t>
        </is>
      </c>
      <c r="H286" s="2" t="inlineStr">
        <is>
          <t>24120235</t>
        </is>
      </c>
      <c r="I286" s="2" t="inlineStr">
        <is>
          <t>Huynh Thanh Tu</t>
        </is>
      </c>
      <c r="J286" s="2" t="inlineStr">
        <is>
          <t>Sprint 5</t>
        </is>
      </c>
      <c r="K286" s="2" t="inlineStr">
        <is>
          <t>24120244</t>
        </is>
      </c>
      <c r="L286" s="2" t="inlineStr">
        <is>
          <t>Phan Van Viet</t>
        </is>
      </c>
      <c r="M286" s="3" t="n">
        <v>46354</v>
      </c>
      <c r="N286" s="3" t="n">
        <v>46368</v>
      </c>
      <c r="O286" s="2" t="n">
        <v>2</v>
      </c>
      <c r="P286" s="2" t="inlineStr">
        <is>
          <t>ORIG-230</t>
        </is>
      </c>
      <c r="Q286" s="2" t="inlineStr">
        <is>
          <t>Medium</t>
        </is>
      </c>
      <c r="R286" s="2" t="inlineStr">
        <is>
          <t>Planned</t>
        </is>
      </c>
    </row>
    <row r="287">
      <c r="A287" s="2" t="inlineStr">
        <is>
          <t>Sub-task</t>
        </is>
      </c>
      <c r="B287" s="2" t="inlineStr">
        <is>
          <t>CIN-SUB-231</t>
        </is>
      </c>
      <c r="C287" s="2" t="inlineStr">
        <is>
          <t>CIN-T-038</t>
        </is>
      </c>
      <c r="D287" s="2" t="inlineStr">
        <is>
          <t>Automated Test</t>
        </is>
      </c>
      <c r="E287" s="2" t="inlineStr">
        <is>
          <t>PH-04</t>
        </is>
      </c>
      <c r="F287" s="2" t="inlineStr">
        <is>
          <t>Release, Verification &amp; Handover</t>
        </is>
      </c>
      <c r="G287" s="2" t="inlineStr">
        <is>
          <t>CIN-T-038</t>
        </is>
      </c>
      <c r="H287" s="2" t="inlineStr">
        <is>
          <t>24120235</t>
        </is>
      </c>
      <c r="I287" s="2" t="inlineStr">
        <is>
          <t>Huynh Thanh Tu</t>
        </is>
      </c>
      <c r="J287" s="2" t="inlineStr">
        <is>
          <t>Sprint 5</t>
        </is>
      </c>
      <c r="K287" s="2" t="inlineStr">
        <is>
          <t>24120235</t>
        </is>
      </c>
      <c r="L287" s="2" t="inlineStr">
        <is>
          <t>Huynh Thanh Tu</t>
        </is>
      </c>
      <c r="M287" s="3" t="n">
        <v>46354</v>
      </c>
      <c r="N287" s="3" t="n">
        <v>46368</v>
      </c>
      <c r="O287" s="2" t="n">
        <v>3</v>
      </c>
      <c r="P287" s="2" t="inlineStr">
        <is>
          <t>ORIG-231</t>
        </is>
      </c>
      <c r="Q287" s="2" t="inlineStr">
        <is>
          <t>Medium</t>
        </is>
      </c>
      <c r="R287" s="2" t="inlineStr">
        <is>
          <t>Planned</t>
        </is>
      </c>
    </row>
    <row r="288">
      <c r="A288" s="2" t="inlineStr">
        <is>
          <t>Sub-task</t>
        </is>
      </c>
      <c r="B288" s="2" t="inlineStr">
        <is>
          <t>CIN-SUB-232</t>
        </is>
      </c>
      <c r="C288" s="2" t="inlineStr">
        <is>
          <t>CIN-T-038</t>
        </is>
      </c>
      <c r="D288" s="2" t="inlineStr">
        <is>
          <t>Code Quality Check</t>
        </is>
      </c>
      <c r="E288" s="2" t="inlineStr">
        <is>
          <t>PH-04</t>
        </is>
      </c>
      <c r="F288" s="2" t="inlineStr">
        <is>
          <t>Release, Verification &amp; Handover</t>
        </is>
      </c>
      <c r="G288" s="2" t="inlineStr">
        <is>
          <t>CIN-T-038</t>
        </is>
      </c>
      <c r="H288" s="2" t="inlineStr">
        <is>
          <t>24120235</t>
        </is>
      </c>
      <c r="I288" s="2" t="inlineStr">
        <is>
          <t>Huynh Thanh Tu</t>
        </is>
      </c>
      <c r="J288" s="2" t="inlineStr">
        <is>
          <t>Sprint 5</t>
        </is>
      </c>
      <c r="K288" s="2" t="inlineStr">
        <is>
          <t>24120255</t>
        </is>
      </c>
      <c r="L288" s="2" t="inlineStr">
        <is>
          <t>Tran Thien An</t>
        </is>
      </c>
      <c r="M288" s="3" t="n">
        <v>46354</v>
      </c>
      <c r="N288" s="3" t="n">
        <v>46368</v>
      </c>
      <c r="O288" s="2" t="n">
        <v>2</v>
      </c>
      <c r="P288" s="2" t="inlineStr">
        <is>
          <t>ORIG-232</t>
        </is>
      </c>
      <c r="Q288" s="2" t="inlineStr">
        <is>
          <t>Medium</t>
        </is>
      </c>
      <c r="R288" s="2" t="inlineStr">
        <is>
          <t>Planned</t>
        </is>
      </c>
    </row>
    <row r="289">
      <c r="A289" s="2" t="inlineStr">
        <is>
          <t>Sub-task</t>
        </is>
      </c>
      <c r="B289" s="2" t="inlineStr">
        <is>
          <t>CIN-SUB-233</t>
        </is>
      </c>
      <c r="C289" s="2" t="inlineStr">
        <is>
          <t>CIN-T-038</t>
        </is>
      </c>
      <c r="D289" s="2" t="inlineStr">
        <is>
          <t>CI Status</t>
        </is>
      </c>
      <c r="E289" s="2" t="inlineStr">
        <is>
          <t>PH-04</t>
        </is>
      </c>
      <c r="F289" s="2" t="inlineStr">
        <is>
          <t>Release, Verification &amp; Handover</t>
        </is>
      </c>
      <c r="G289" s="2" t="inlineStr">
        <is>
          <t>CIN-T-038</t>
        </is>
      </c>
      <c r="H289" s="2" t="inlineStr">
        <is>
          <t>24120235</t>
        </is>
      </c>
      <c r="I289" s="2" t="inlineStr">
        <is>
          <t>Huynh Thanh Tu</t>
        </is>
      </c>
      <c r="J289" s="2" t="inlineStr">
        <is>
          <t>Sprint 5</t>
        </is>
      </c>
      <c r="K289" s="2" t="inlineStr">
        <is>
          <t>24120098</t>
        </is>
      </c>
      <c r="L289" s="2" t="inlineStr">
        <is>
          <t>Nguyen Quoc Nam</t>
        </is>
      </c>
      <c r="M289" s="3" t="n">
        <v>46354</v>
      </c>
      <c r="N289" s="3" t="n">
        <v>46368</v>
      </c>
      <c r="O289" s="2" t="n">
        <v>3</v>
      </c>
      <c r="P289" s="2" t="inlineStr">
        <is>
          <t>ORIG-233</t>
        </is>
      </c>
      <c r="Q289" s="2" t="inlineStr">
        <is>
          <t>Medium</t>
        </is>
      </c>
      <c r="R289" s="2" t="inlineStr">
        <is>
          <t>Planned</t>
        </is>
      </c>
    </row>
    <row r="290">
      <c r="A290" s="2" t="inlineStr">
        <is>
          <t>Sub-task</t>
        </is>
      </c>
      <c r="B290" s="2" t="inlineStr">
        <is>
          <t>CIN-SUB-234</t>
        </is>
      </c>
      <c r="C290" s="2" t="inlineStr">
        <is>
          <t>CIN-T-038</t>
        </is>
      </c>
      <c r="D290" s="2" t="inlineStr">
        <is>
          <t>CD Pipeline</t>
        </is>
      </c>
      <c r="E290" s="2" t="inlineStr">
        <is>
          <t>PH-04</t>
        </is>
      </c>
      <c r="F290" s="2" t="inlineStr">
        <is>
          <t>Release, Verification &amp; Handover</t>
        </is>
      </c>
      <c r="G290" s="2" t="inlineStr">
        <is>
          <t>CIN-T-038</t>
        </is>
      </c>
      <c r="H290" s="2" t="inlineStr">
        <is>
          <t>24120235</t>
        </is>
      </c>
      <c r="I290" s="2" t="inlineStr">
        <is>
          <t>Huynh Thanh Tu</t>
        </is>
      </c>
      <c r="J290" s="2" t="inlineStr">
        <is>
          <t>Sprint 5</t>
        </is>
      </c>
      <c r="K290" s="2" t="inlineStr">
        <is>
          <t>24120271</t>
        </is>
      </c>
      <c r="L290" s="2" t="inlineStr">
        <is>
          <t>Nguyen Trung Chinh</t>
        </is>
      </c>
      <c r="M290" s="3" t="n">
        <v>46354</v>
      </c>
      <c r="N290" s="3" t="n">
        <v>46368</v>
      </c>
      <c r="O290" s="2" t="n">
        <v>3</v>
      </c>
      <c r="P290" s="2" t="inlineStr">
        <is>
          <t>ORIG-234</t>
        </is>
      </c>
      <c r="Q290" s="2" t="inlineStr">
        <is>
          <t>Medium</t>
        </is>
      </c>
      <c r="R290" s="2" t="inlineStr">
        <is>
          <t>Planned</t>
        </is>
      </c>
    </row>
    <row r="291">
      <c r="A291" s="6" t="inlineStr">
        <is>
          <t>Task</t>
        </is>
      </c>
      <c r="B291" s="6" t="inlineStr">
        <is>
          <t>CIN-T-039</t>
        </is>
      </c>
      <c r="C291" s="6" t="inlineStr">
        <is>
          <t>PH-04</t>
        </is>
      </c>
      <c r="D291" s="6" t="inlineStr">
        <is>
          <t>Chuẩn bị và xác minh môi trường triển khai demo</t>
        </is>
      </c>
      <c r="E291" s="6" t="inlineStr">
        <is>
          <t>PH-04</t>
        </is>
      </c>
      <c r="F291" s="6" t="inlineStr">
        <is>
          <t>Release, Verification &amp; Handover</t>
        </is>
      </c>
      <c r="G291" s="6" t="inlineStr">
        <is>
          <t>CIN-T-039</t>
        </is>
      </c>
      <c r="H291" s="6" t="inlineStr">
        <is>
          <t>24120244</t>
        </is>
      </c>
      <c r="I291" s="6" t="inlineStr">
        <is>
          <t>Phan Van Viet</t>
        </is>
      </c>
      <c r="J291" s="6" t="inlineStr">
        <is>
          <t>Sprint 5</t>
        </is>
      </c>
      <c r="K291" s="6" t="inlineStr"/>
      <c r="L291" s="6" t="inlineStr"/>
      <c r="M291" s="7" t="n">
        <v>46354</v>
      </c>
      <c r="N291" s="7" t="n">
        <v>46368</v>
      </c>
      <c r="O291" s="6">
        <f>SUMIFS('Master Subtasks'!$V$2:$V$293,'Master Subtasks'!$L$2:$L$293,$B291)</f>
        <v/>
      </c>
      <c r="P291" s="6" t="inlineStr"/>
      <c r="Q291" s="6" t="inlineStr">
        <is>
          <t>Medium</t>
        </is>
      </c>
      <c r="R291" s="6" t="inlineStr">
        <is>
          <t>Planned</t>
        </is>
      </c>
    </row>
    <row r="292">
      <c r="A292" s="2" t="inlineStr">
        <is>
          <t>Sub-task</t>
        </is>
      </c>
      <c r="B292" s="2" t="inlineStr">
        <is>
          <t>CIN-SUB-235</t>
        </is>
      </c>
      <c r="C292" s="2" t="inlineStr">
        <is>
          <t>CIN-T-039</t>
        </is>
      </c>
      <c r="D292" s="2" t="inlineStr">
        <is>
          <t>Chuẩn bị Production Server</t>
        </is>
      </c>
      <c r="E292" s="2" t="inlineStr">
        <is>
          <t>PH-04</t>
        </is>
      </c>
      <c r="F292" s="2" t="inlineStr">
        <is>
          <t>Release, Verification &amp; Handover</t>
        </is>
      </c>
      <c r="G292" s="2" t="inlineStr">
        <is>
          <t>CIN-T-039</t>
        </is>
      </c>
      <c r="H292" s="2" t="inlineStr">
        <is>
          <t>24120244</t>
        </is>
      </c>
      <c r="I292" s="2" t="inlineStr">
        <is>
          <t>Phan Van Viet</t>
        </is>
      </c>
      <c r="J292" s="2" t="inlineStr">
        <is>
          <t>Sprint 5</t>
        </is>
      </c>
      <c r="K292" s="2" t="inlineStr">
        <is>
          <t>24120244</t>
        </is>
      </c>
      <c r="L292" s="2" t="inlineStr">
        <is>
          <t>Phan Van Viet</t>
        </is>
      </c>
      <c r="M292" s="3" t="n">
        <v>46354</v>
      </c>
      <c r="N292" s="3" t="n">
        <v>46368</v>
      </c>
      <c r="O292" s="2" t="n">
        <v>2</v>
      </c>
      <c r="P292" s="2" t="inlineStr">
        <is>
          <t>ORIG-235</t>
        </is>
      </c>
      <c r="Q292" s="2" t="inlineStr">
        <is>
          <t>Medium</t>
        </is>
      </c>
      <c r="R292" s="2" t="inlineStr">
        <is>
          <t>Planned</t>
        </is>
      </c>
    </row>
    <row r="293">
      <c r="A293" s="2" t="inlineStr">
        <is>
          <t>Sub-task</t>
        </is>
      </c>
      <c r="B293" s="2" t="inlineStr">
        <is>
          <t>CIN-SUB-236</t>
        </is>
      </c>
      <c r="C293" s="2" t="inlineStr">
        <is>
          <t>CIN-T-039</t>
        </is>
      </c>
      <c r="D293" s="2" t="inlineStr">
        <is>
          <t>Deploy Backend</t>
        </is>
      </c>
      <c r="E293" s="2" t="inlineStr">
        <is>
          <t>PH-04</t>
        </is>
      </c>
      <c r="F293" s="2" t="inlineStr">
        <is>
          <t>Release, Verification &amp; Handover</t>
        </is>
      </c>
      <c r="G293" s="2" t="inlineStr">
        <is>
          <t>CIN-T-039</t>
        </is>
      </c>
      <c r="H293" s="2" t="inlineStr">
        <is>
          <t>24120244</t>
        </is>
      </c>
      <c r="I293" s="2" t="inlineStr">
        <is>
          <t>Phan Van Viet</t>
        </is>
      </c>
      <c r="J293" s="2" t="inlineStr">
        <is>
          <t>Sprint 5</t>
        </is>
      </c>
      <c r="K293" s="2" t="inlineStr">
        <is>
          <t>24120255</t>
        </is>
      </c>
      <c r="L293" s="2" t="inlineStr">
        <is>
          <t>Tran Thien An</t>
        </is>
      </c>
      <c r="M293" s="3" t="n">
        <v>46354</v>
      </c>
      <c r="N293" s="3" t="n">
        <v>46368</v>
      </c>
      <c r="O293" s="2" t="n">
        <v>3</v>
      </c>
      <c r="P293" s="2" t="inlineStr">
        <is>
          <t>ORIG-236</t>
        </is>
      </c>
      <c r="Q293" s="2" t="inlineStr">
        <is>
          <t>Medium</t>
        </is>
      </c>
      <c r="R293" s="2" t="inlineStr">
        <is>
          <t>Planned</t>
        </is>
      </c>
    </row>
    <row r="294">
      <c r="A294" s="2" t="inlineStr">
        <is>
          <t>Sub-task</t>
        </is>
      </c>
      <c r="B294" s="2" t="inlineStr">
        <is>
          <t>CIN-SUB-237</t>
        </is>
      </c>
      <c r="C294" s="2" t="inlineStr">
        <is>
          <t>CIN-T-039</t>
        </is>
      </c>
      <c r="D294" s="2" t="inlineStr">
        <is>
          <t>Deploy Frontend</t>
        </is>
      </c>
      <c r="E294" s="2" t="inlineStr">
        <is>
          <t>PH-04</t>
        </is>
      </c>
      <c r="F294" s="2" t="inlineStr">
        <is>
          <t>Release, Verification &amp; Handover</t>
        </is>
      </c>
      <c r="G294" s="2" t="inlineStr">
        <is>
          <t>CIN-T-039</t>
        </is>
      </c>
      <c r="H294" s="2" t="inlineStr">
        <is>
          <t>24120244</t>
        </is>
      </c>
      <c r="I294" s="2" t="inlineStr">
        <is>
          <t>Phan Van Viet</t>
        </is>
      </c>
      <c r="J294" s="2" t="inlineStr">
        <is>
          <t>Sprint 5</t>
        </is>
      </c>
      <c r="K294" s="2" t="inlineStr">
        <is>
          <t>24120235</t>
        </is>
      </c>
      <c r="L294" s="2" t="inlineStr">
        <is>
          <t>Huynh Thanh Tu</t>
        </is>
      </c>
      <c r="M294" s="3" t="n">
        <v>46354</v>
      </c>
      <c r="N294" s="3" t="n">
        <v>46368</v>
      </c>
      <c r="O294" s="2" t="n">
        <v>3</v>
      </c>
      <c r="P294" s="2" t="inlineStr">
        <is>
          <t>ORIG-237</t>
        </is>
      </c>
      <c r="Q294" s="2" t="inlineStr">
        <is>
          <t>Medium</t>
        </is>
      </c>
      <c r="R294" s="2" t="inlineStr">
        <is>
          <t>Planned</t>
        </is>
      </c>
    </row>
    <row r="295">
      <c r="A295" s="2" t="inlineStr">
        <is>
          <t>Sub-task</t>
        </is>
      </c>
      <c r="B295" s="2" t="inlineStr">
        <is>
          <t>CIN-SUB-238</t>
        </is>
      </c>
      <c r="C295" s="2" t="inlineStr">
        <is>
          <t>CIN-T-039</t>
        </is>
      </c>
      <c r="D295" s="2" t="inlineStr">
        <is>
          <t>Deploy PostgreSQL</t>
        </is>
      </c>
      <c r="E295" s="2" t="inlineStr">
        <is>
          <t>PH-04</t>
        </is>
      </c>
      <c r="F295" s="2" t="inlineStr">
        <is>
          <t>Release, Verification &amp; Handover</t>
        </is>
      </c>
      <c r="G295" s="2" t="inlineStr">
        <is>
          <t>CIN-T-039</t>
        </is>
      </c>
      <c r="H295" s="2" t="inlineStr">
        <is>
          <t>24120244</t>
        </is>
      </c>
      <c r="I295" s="2" t="inlineStr">
        <is>
          <t>Phan Van Viet</t>
        </is>
      </c>
      <c r="J295" s="2" t="inlineStr">
        <is>
          <t>Sprint 5</t>
        </is>
      </c>
      <c r="K295" s="2" t="inlineStr">
        <is>
          <t>24120244</t>
        </is>
      </c>
      <c r="L295" s="2" t="inlineStr">
        <is>
          <t>Phan Van Viet</t>
        </is>
      </c>
      <c r="M295" s="3" t="n">
        <v>46354</v>
      </c>
      <c r="N295" s="3" t="n">
        <v>46368</v>
      </c>
      <c r="O295" s="2" t="n">
        <v>3</v>
      </c>
      <c r="P295" s="2" t="inlineStr">
        <is>
          <t>ORIG-238</t>
        </is>
      </c>
      <c r="Q295" s="2" t="inlineStr">
        <is>
          <t>Medium</t>
        </is>
      </c>
      <c r="R295" s="2" t="inlineStr">
        <is>
          <t>Planned</t>
        </is>
      </c>
    </row>
    <row r="296">
      <c r="A296" s="2" t="inlineStr">
        <is>
          <t>Sub-task</t>
        </is>
      </c>
      <c r="B296" s="2" t="inlineStr">
        <is>
          <t>CIN-SUB-239</t>
        </is>
      </c>
      <c r="C296" s="2" t="inlineStr">
        <is>
          <t>CIN-T-039</t>
        </is>
      </c>
      <c r="D296" s="2" t="inlineStr">
        <is>
          <t>Production Connection</t>
        </is>
      </c>
      <c r="E296" s="2" t="inlineStr">
        <is>
          <t>PH-04</t>
        </is>
      </c>
      <c r="F296" s="2" t="inlineStr">
        <is>
          <t>Release, Verification &amp; Handover</t>
        </is>
      </c>
      <c r="G296" s="2" t="inlineStr">
        <is>
          <t>CIN-T-039</t>
        </is>
      </c>
      <c r="H296" s="2" t="inlineStr">
        <is>
          <t>24120244</t>
        </is>
      </c>
      <c r="I296" s="2" t="inlineStr">
        <is>
          <t>Phan Van Viet</t>
        </is>
      </c>
      <c r="J296" s="2" t="inlineStr">
        <is>
          <t>Sprint 5</t>
        </is>
      </c>
      <c r="K296" s="2" t="inlineStr">
        <is>
          <t>24120098</t>
        </is>
      </c>
      <c r="L296" s="2" t="inlineStr">
        <is>
          <t>Nguyen Quoc Nam</t>
        </is>
      </c>
      <c r="M296" s="3" t="n">
        <v>46354</v>
      </c>
      <c r="N296" s="3" t="n">
        <v>46368</v>
      </c>
      <c r="O296" s="2" t="n">
        <v>3</v>
      </c>
      <c r="P296" s="2" t="inlineStr">
        <is>
          <t>ORIG-239</t>
        </is>
      </c>
      <c r="Q296" s="2" t="inlineStr">
        <is>
          <t>Medium</t>
        </is>
      </c>
      <c r="R296" s="2" t="inlineStr">
        <is>
          <t>Planned</t>
        </is>
      </c>
    </row>
    <row r="297">
      <c r="A297" s="2" t="inlineStr">
        <is>
          <t>Sub-task</t>
        </is>
      </c>
      <c r="B297" s="2" t="inlineStr">
        <is>
          <t>CIN-SUB-240</t>
        </is>
      </c>
      <c r="C297" s="2" t="inlineStr">
        <is>
          <t>CIN-T-039</t>
        </is>
      </c>
      <c r="D297" s="2" t="inlineStr">
        <is>
          <t>Production Migration</t>
        </is>
      </c>
      <c r="E297" s="2" t="inlineStr">
        <is>
          <t>PH-04</t>
        </is>
      </c>
      <c r="F297" s="2" t="inlineStr">
        <is>
          <t>Release, Verification &amp; Handover</t>
        </is>
      </c>
      <c r="G297" s="2" t="inlineStr">
        <is>
          <t>CIN-T-039</t>
        </is>
      </c>
      <c r="H297" s="2" t="inlineStr">
        <is>
          <t>24120244</t>
        </is>
      </c>
      <c r="I297" s="2" t="inlineStr">
        <is>
          <t>Phan Van Viet</t>
        </is>
      </c>
      <c r="J297" s="2" t="inlineStr">
        <is>
          <t>Sprint 5</t>
        </is>
      </c>
      <c r="K297" s="2" t="inlineStr">
        <is>
          <t>24120271</t>
        </is>
      </c>
      <c r="L297" s="2" t="inlineStr">
        <is>
          <t>Nguyen Trung Chinh</t>
        </is>
      </c>
      <c r="M297" s="3" t="n">
        <v>46354</v>
      </c>
      <c r="N297" s="3" t="n">
        <v>46368</v>
      </c>
      <c r="O297" s="2" t="n">
        <v>3</v>
      </c>
      <c r="P297" s="2" t="inlineStr">
        <is>
          <t>ORIG-240</t>
        </is>
      </c>
      <c r="Q297" s="2" t="inlineStr">
        <is>
          <t>Medium</t>
        </is>
      </c>
      <c r="R297" s="2" t="inlineStr">
        <is>
          <t>Planned</t>
        </is>
      </c>
    </row>
    <row r="298">
      <c r="A298" s="2" t="inlineStr">
        <is>
          <t>Sub-task</t>
        </is>
      </c>
      <c r="B298" s="2" t="inlineStr">
        <is>
          <t>CIN-SUB-241</t>
        </is>
      </c>
      <c r="C298" s="2" t="inlineStr">
        <is>
          <t>CIN-T-039</t>
        </is>
      </c>
      <c r="D298" s="2" t="inlineStr">
        <is>
          <t>Production Seed</t>
        </is>
      </c>
      <c r="E298" s="2" t="inlineStr">
        <is>
          <t>PH-04</t>
        </is>
      </c>
      <c r="F298" s="2" t="inlineStr">
        <is>
          <t>Release, Verification &amp; Handover</t>
        </is>
      </c>
      <c r="G298" s="2" t="inlineStr">
        <is>
          <t>CIN-T-039</t>
        </is>
      </c>
      <c r="H298" s="2" t="inlineStr">
        <is>
          <t>24120244</t>
        </is>
      </c>
      <c r="I298" s="2" t="inlineStr">
        <is>
          <t>Phan Van Viet</t>
        </is>
      </c>
      <c r="J298" s="2" t="inlineStr">
        <is>
          <t>Sprint 5</t>
        </is>
      </c>
      <c r="K298" s="2" t="inlineStr">
        <is>
          <t>24120255</t>
        </is>
      </c>
      <c r="L298" s="2" t="inlineStr">
        <is>
          <t>Tran Thien An</t>
        </is>
      </c>
      <c r="M298" s="3" t="n">
        <v>46354</v>
      </c>
      <c r="N298" s="3" t="n">
        <v>46368</v>
      </c>
      <c r="O298" s="2" t="n">
        <v>2</v>
      </c>
      <c r="P298" s="2" t="inlineStr">
        <is>
          <t>ORIG-241</t>
        </is>
      </c>
      <c r="Q298" s="2" t="inlineStr">
        <is>
          <t>Medium</t>
        </is>
      </c>
      <c r="R298" s="2" t="inlineStr">
        <is>
          <t>Planned</t>
        </is>
      </c>
    </row>
    <row r="299">
      <c r="A299" s="6" t="inlineStr">
        <is>
          <t>Task</t>
        </is>
      </c>
      <c r="B299" s="6" t="inlineStr">
        <is>
          <t>CIN-T-040</t>
        </is>
      </c>
      <c r="C299" s="6" t="inlineStr">
        <is>
          <t>PH-04</t>
        </is>
      </c>
      <c r="D299" s="6" t="inlineStr">
        <is>
          <t>Hoàn thiện hosting và xác nhận triển khai</t>
        </is>
      </c>
      <c r="E299" s="6" t="inlineStr">
        <is>
          <t>PH-04</t>
        </is>
      </c>
      <c r="F299" s="6" t="inlineStr">
        <is>
          <t>Release, Verification &amp; Handover</t>
        </is>
      </c>
      <c r="G299" s="6" t="inlineStr">
        <is>
          <t>CIN-T-040</t>
        </is>
      </c>
      <c r="H299" s="6" t="inlineStr">
        <is>
          <t>24120244</t>
        </is>
      </c>
      <c r="I299" s="6" t="inlineStr">
        <is>
          <t>Phan Van Viet</t>
        </is>
      </c>
      <c r="J299" s="6" t="inlineStr">
        <is>
          <t>Sprint 5</t>
        </is>
      </c>
      <c r="K299" s="6" t="inlineStr"/>
      <c r="L299" s="6" t="inlineStr"/>
      <c r="M299" s="7" t="n">
        <v>46354</v>
      </c>
      <c r="N299" s="7" t="n">
        <v>46368</v>
      </c>
      <c r="O299" s="6">
        <f>SUMIFS('Master Subtasks'!$V$2:$V$293,'Master Subtasks'!$L$2:$L$293,$B299)</f>
        <v/>
      </c>
      <c r="P299" s="6" t="inlineStr"/>
      <c r="Q299" s="6" t="inlineStr">
        <is>
          <t>Low</t>
        </is>
      </c>
      <c r="R299" s="6" t="inlineStr">
        <is>
          <t>Planned</t>
        </is>
      </c>
    </row>
    <row r="300">
      <c r="A300" s="2" t="inlineStr">
        <is>
          <t>Sub-task</t>
        </is>
      </c>
      <c r="B300" s="2" t="inlineStr">
        <is>
          <t>CIN-SUB-242</t>
        </is>
      </c>
      <c r="C300" s="2" t="inlineStr">
        <is>
          <t>CIN-T-040</t>
        </is>
      </c>
      <c r="D300" s="2" t="inlineStr">
        <is>
          <t>Domain</t>
        </is>
      </c>
      <c r="E300" s="2" t="inlineStr">
        <is>
          <t>PH-04</t>
        </is>
      </c>
      <c r="F300" s="2" t="inlineStr">
        <is>
          <t>Release, Verification &amp; Handover</t>
        </is>
      </c>
      <c r="G300" s="2" t="inlineStr">
        <is>
          <t>CIN-T-040</t>
        </is>
      </c>
      <c r="H300" s="2" t="inlineStr">
        <is>
          <t>24120244</t>
        </is>
      </c>
      <c r="I300" s="2" t="inlineStr">
        <is>
          <t>Phan Van Viet</t>
        </is>
      </c>
      <c r="J300" s="2" t="inlineStr">
        <is>
          <t>Sprint 5</t>
        </is>
      </c>
      <c r="K300" s="2" t="inlineStr">
        <is>
          <t>24120235</t>
        </is>
      </c>
      <c r="L300" s="2" t="inlineStr">
        <is>
          <t>Huynh Thanh Tu</t>
        </is>
      </c>
      <c r="M300" s="3" t="n">
        <v>46354</v>
      </c>
      <c r="N300" s="3" t="n">
        <v>46368</v>
      </c>
      <c r="O300" s="2" t="n">
        <v>2</v>
      </c>
      <c r="P300" s="2" t="inlineStr">
        <is>
          <t>ORIG-242</t>
        </is>
      </c>
      <c r="Q300" s="2" t="inlineStr">
        <is>
          <t>Low</t>
        </is>
      </c>
      <c r="R300" s="2" t="inlineStr">
        <is>
          <t>Planned</t>
        </is>
      </c>
    </row>
    <row r="301">
      <c r="A301" s="2" t="inlineStr">
        <is>
          <t>Sub-task</t>
        </is>
      </c>
      <c r="B301" s="2" t="inlineStr">
        <is>
          <t>CIN-SUB-243</t>
        </is>
      </c>
      <c r="C301" s="2" t="inlineStr">
        <is>
          <t>CIN-T-040</t>
        </is>
      </c>
      <c r="D301" s="2" t="inlineStr">
        <is>
          <t>DNS</t>
        </is>
      </c>
      <c r="E301" s="2" t="inlineStr">
        <is>
          <t>PH-04</t>
        </is>
      </c>
      <c r="F301" s="2" t="inlineStr">
        <is>
          <t>Release, Verification &amp; Handover</t>
        </is>
      </c>
      <c r="G301" s="2" t="inlineStr">
        <is>
          <t>CIN-T-040</t>
        </is>
      </c>
      <c r="H301" s="2" t="inlineStr">
        <is>
          <t>24120244</t>
        </is>
      </c>
      <c r="I301" s="2" t="inlineStr">
        <is>
          <t>Phan Van Viet</t>
        </is>
      </c>
      <c r="J301" s="2" t="inlineStr">
        <is>
          <t>Sprint 5</t>
        </is>
      </c>
      <c r="K301" s="2" t="inlineStr">
        <is>
          <t>24120244</t>
        </is>
      </c>
      <c r="L301" s="2" t="inlineStr">
        <is>
          <t>Phan Van Viet</t>
        </is>
      </c>
      <c r="M301" s="3" t="n">
        <v>46354</v>
      </c>
      <c r="N301" s="3" t="n">
        <v>46368</v>
      </c>
      <c r="O301" s="2" t="n">
        <v>2</v>
      </c>
      <c r="P301" s="2" t="inlineStr">
        <is>
          <t>ORIG-243</t>
        </is>
      </c>
      <c r="Q301" s="2" t="inlineStr">
        <is>
          <t>Low</t>
        </is>
      </c>
      <c r="R301" s="2" t="inlineStr">
        <is>
          <t>Planned</t>
        </is>
      </c>
    </row>
    <row r="302">
      <c r="A302" s="2" t="inlineStr">
        <is>
          <t>Sub-task</t>
        </is>
      </c>
      <c r="B302" s="2" t="inlineStr">
        <is>
          <t>CIN-SUB-244</t>
        </is>
      </c>
      <c r="C302" s="2" t="inlineStr">
        <is>
          <t>CIN-T-040</t>
        </is>
      </c>
      <c r="D302" s="2" t="inlineStr">
        <is>
          <t>HTTPS / SSL</t>
        </is>
      </c>
      <c r="E302" s="2" t="inlineStr">
        <is>
          <t>PH-04</t>
        </is>
      </c>
      <c r="F302" s="2" t="inlineStr">
        <is>
          <t>Release, Verification &amp; Handover</t>
        </is>
      </c>
      <c r="G302" s="2" t="inlineStr">
        <is>
          <t>CIN-T-040</t>
        </is>
      </c>
      <c r="H302" s="2" t="inlineStr">
        <is>
          <t>24120244</t>
        </is>
      </c>
      <c r="I302" s="2" t="inlineStr">
        <is>
          <t>Phan Van Viet</t>
        </is>
      </c>
      <c r="J302" s="2" t="inlineStr">
        <is>
          <t>Sprint 5</t>
        </is>
      </c>
      <c r="K302" s="2" t="inlineStr">
        <is>
          <t>24120098</t>
        </is>
      </c>
      <c r="L302" s="2" t="inlineStr">
        <is>
          <t>Nguyen Quoc Nam</t>
        </is>
      </c>
      <c r="M302" s="3" t="n">
        <v>46354</v>
      </c>
      <c r="N302" s="3" t="n">
        <v>46368</v>
      </c>
      <c r="O302" s="2" t="n">
        <v>2</v>
      </c>
      <c r="P302" s="2" t="inlineStr">
        <is>
          <t>ORIG-244</t>
        </is>
      </c>
      <c r="Q302" s="2" t="inlineStr">
        <is>
          <t>Low</t>
        </is>
      </c>
      <c r="R302" s="2" t="inlineStr">
        <is>
          <t>Planned</t>
        </is>
      </c>
    </row>
    <row r="303">
      <c r="A303" s="2" t="inlineStr">
        <is>
          <t>Sub-task</t>
        </is>
      </c>
      <c r="B303" s="2" t="inlineStr">
        <is>
          <t>CIN-SUB-245</t>
        </is>
      </c>
      <c r="C303" s="2" t="inlineStr">
        <is>
          <t>CIN-T-040</t>
        </is>
      </c>
      <c r="D303" s="2" t="inlineStr">
        <is>
          <t>Production CORS</t>
        </is>
      </c>
      <c r="E303" s="2" t="inlineStr">
        <is>
          <t>PH-04</t>
        </is>
      </c>
      <c r="F303" s="2" t="inlineStr">
        <is>
          <t>Release, Verification &amp; Handover</t>
        </is>
      </c>
      <c r="G303" s="2" t="inlineStr">
        <is>
          <t>CIN-T-040</t>
        </is>
      </c>
      <c r="H303" s="2" t="inlineStr">
        <is>
          <t>24120244</t>
        </is>
      </c>
      <c r="I303" s="2" t="inlineStr">
        <is>
          <t>Phan Van Viet</t>
        </is>
      </c>
      <c r="J303" s="2" t="inlineStr">
        <is>
          <t>Sprint 5</t>
        </is>
      </c>
      <c r="K303" s="2" t="inlineStr">
        <is>
          <t>24120271</t>
        </is>
      </c>
      <c r="L303" s="2" t="inlineStr">
        <is>
          <t>Nguyen Trung Chinh</t>
        </is>
      </c>
      <c r="M303" s="3" t="n">
        <v>46354</v>
      </c>
      <c r="N303" s="3" t="n">
        <v>46368</v>
      </c>
      <c r="O303" s="2" t="n">
        <v>2</v>
      </c>
      <c r="P303" s="2" t="inlineStr">
        <is>
          <t>ORIG-245</t>
        </is>
      </c>
      <c r="Q303" s="2" t="inlineStr">
        <is>
          <t>Low</t>
        </is>
      </c>
      <c r="R303" s="2" t="inlineStr">
        <is>
          <t>Planned</t>
        </is>
      </c>
    </row>
    <row r="304">
      <c r="A304" s="2" t="inlineStr">
        <is>
          <t>Sub-task</t>
        </is>
      </c>
      <c r="B304" s="2" t="inlineStr">
        <is>
          <t>CIN-SUB-246</t>
        </is>
      </c>
      <c r="C304" s="2" t="inlineStr">
        <is>
          <t>CIN-T-040</t>
        </is>
      </c>
      <c r="D304" s="2" t="inlineStr">
        <is>
          <t>Production Environment Variables</t>
        </is>
      </c>
      <c r="E304" s="2" t="inlineStr">
        <is>
          <t>PH-04</t>
        </is>
      </c>
      <c r="F304" s="2" t="inlineStr">
        <is>
          <t>Release, Verification &amp; Handover</t>
        </is>
      </c>
      <c r="G304" s="2" t="inlineStr">
        <is>
          <t>CIN-T-040</t>
        </is>
      </c>
      <c r="H304" s="2" t="inlineStr">
        <is>
          <t>24120244</t>
        </is>
      </c>
      <c r="I304" s="2" t="inlineStr">
        <is>
          <t>Phan Van Viet</t>
        </is>
      </c>
      <c r="J304" s="2" t="inlineStr">
        <is>
          <t>Sprint 5</t>
        </is>
      </c>
      <c r="K304" s="2" t="inlineStr">
        <is>
          <t>24120255</t>
        </is>
      </c>
      <c r="L304" s="2" t="inlineStr">
        <is>
          <t>Tran Thien An</t>
        </is>
      </c>
      <c r="M304" s="3" t="n">
        <v>46354</v>
      </c>
      <c r="N304" s="3" t="n">
        <v>46368</v>
      </c>
      <c r="O304" s="2" t="n">
        <v>3</v>
      </c>
      <c r="P304" s="2" t="inlineStr">
        <is>
          <t>ORIG-246</t>
        </is>
      </c>
      <c r="Q304" s="2" t="inlineStr">
        <is>
          <t>Low</t>
        </is>
      </c>
      <c r="R304" s="2" t="inlineStr">
        <is>
          <t>Planned</t>
        </is>
      </c>
    </row>
    <row r="305">
      <c r="A305" s="2" t="inlineStr">
        <is>
          <t>Sub-task</t>
        </is>
      </c>
      <c r="B305" s="2" t="inlineStr">
        <is>
          <t>CIN-SUB-247</t>
        </is>
      </c>
      <c r="C305" s="2" t="inlineStr">
        <is>
          <t>CIN-T-040</t>
        </is>
      </c>
      <c r="D305" s="2" t="inlineStr">
        <is>
          <t>Production Build</t>
        </is>
      </c>
      <c r="E305" s="2" t="inlineStr">
        <is>
          <t>PH-04</t>
        </is>
      </c>
      <c r="F305" s="2" t="inlineStr">
        <is>
          <t>Release, Verification &amp; Handover</t>
        </is>
      </c>
      <c r="G305" s="2" t="inlineStr">
        <is>
          <t>CIN-T-040</t>
        </is>
      </c>
      <c r="H305" s="2" t="inlineStr">
        <is>
          <t>24120244</t>
        </is>
      </c>
      <c r="I305" s="2" t="inlineStr">
        <is>
          <t>Phan Van Viet</t>
        </is>
      </c>
      <c r="J305" s="2" t="inlineStr">
        <is>
          <t>Sprint 5</t>
        </is>
      </c>
      <c r="K305" s="2" t="inlineStr">
        <is>
          <t>24120235</t>
        </is>
      </c>
      <c r="L305" s="2" t="inlineStr">
        <is>
          <t>Huynh Thanh Tu</t>
        </is>
      </c>
      <c r="M305" s="3" t="n">
        <v>46354</v>
      </c>
      <c r="N305" s="3" t="n">
        <v>46368</v>
      </c>
      <c r="O305" s="2" t="n">
        <v>2</v>
      </c>
      <c r="P305" s="2" t="inlineStr">
        <is>
          <t>ORIG-247</t>
        </is>
      </c>
      <c r="Q305" s="2" t="inlineStr">
        <is>
          <t>Low</t>
        </is>
      </c>
      <c r="R305" s="2" t="inlineStr">
        <is>
          <t>Planned</t>
        </is>
      </c>
    </row>
    <row r="306">
      <c r="A306" s="2" t="inlineStr">
        <is>
          <t>Sub-task</t>
        </is>
      </c>
      <c r="B306" s="2" t="inlineStr">
        <is>
          <t>CIN-SUB-248</t>
        </is>
      </c>
      <c r="C306" s="2" t="inlineStr">
        <is>
          <t>CIN-T-040</t>
        </is>
      </c>
      <c r="D306" s="2" t="inlineStr">
        <is>
          <t>Deployment Verification</t>
        </is>
      </c>
      <c r="E306" s="2" t="inlineStr">
        <is>
          <t>PH-04</t>
        </is>
      </c>
      <c r="F306" s="2" t="inlineStr">
        <is>
          <t>Release, Verification &amp; Handover</t>
        </is>
      </c>
      <c r="G306" s="2" t="inlineStr">
        <is>
          <t>CIN-T-040</t>
        </is>
      </c>
      <c r="H306" s="2" t="inlineStr">
        <is>
          <t>24120244</t>
        </is>
      </c>
      <c r="I306" s="2" t="inlineStr">
        <is>
          <t>Phan Van Viet</t>
        </is>
      </c>
      <c r="J306" s="2" t="inlineStr">
        <is>
          <t>Sprint 5</t>
        </is>
      </c>
      <c r="K306" s="2" t="inlineStr">
        <is>
          <t>24120244</t>
        </is>
      </c>
      <c r="L306" s="2" t="inlineStr">
        <is>
          <t>Phan Van Viet</t>
        </is>
      </c>
      <c r="M306" s="3" t="n">
        <v>46354</v>
      </c>
      <c r="N306" s="3" t="n">
        <v>46368</v>
      </c>
      <c r="O306" s="2" t="n">
        <v>3</v>
      </c>
      <c r="P306" s="2" t="inlineStr">
        <is>
          <t>ORIG-248</t>
        </is>
      </c>
      <c r="Q306" s="2" t="inlineStr">
        <is>
          <t>Low</t>
        </is>
      </c>
      <c r="R306" s="2" t="inlineStr">
        <is>
          <t>Planned</t>
        </is>
      </c>
    </row>
    <row r="307">
      <c r="A307" s="6" t="inlineStr">
        <is>
          <t>Task</t>
        </is>
      </c>
      <c r="B307" s="6" t="inlineStr">
        <is>
          <t>CIN-T-041</t>
        </is>
      </c>
      <c r="C307" s="6" t="inlineStr">
        <is>
          <t>PH-04</t>
        </is>
      </c>
      <c r="D307" s="6" t="inlineStr">
        <is>
          <t>Đánh giá logging, health, backup và vận hành</t>
        </is>
      </c>
      <c r="E307" s="6" t="inlineStr">
        <is>
          <t>PH-04</t>
        </is>
      </c>
      <c r="F307" s="6" t="inlineStr">
        <is>
          <t>Release, Verification &amp; Handover</t>
        </is>
      </c>
      <c r="G307" s="6" t="inlineStr">
        <is>
          <t>CIN-T-041</t>
        </is>
      </c>
      <c r="H307" s="6" t="inlineStr">
        <is>
          <t>24120098</t>
        </is>
      </c>
      <c r="I307" s="6" t="inlineStr">
        <is>
          <t>Nguyen Quoc Nam</t>
        </is>
      </c>
      <c r="J307" s="6" t="inlineStr">
        <is>
          <t>Sprint 5</t>
        </is>
      </c>
      <c r="K307" s="6" t="inlineStr"/>
      <c r="L307" s="6" t="inlineStr"/>
      <c r="M307" s="7" t="n">
        <v>46354</v>
      </c>
      <c r="N307" s="7" t="n">
        <v>46368</v>
      </c>
      <c r="O307" s="6">
        <f>SUMIFS('Master Subtasks'!$V$2:$V$293,'Master Subtasks'!$L$2:$L$293,$B307)</f>
        <v/>
      </c>
      <c r="P307" s="6" t="inlineStr"/>
      <c r="Q307" s="6" t="inlineStr">
        <is>
          <t>Low</t>
        </is>
      </c>
      <c r="R307" s="6" t="inlineStr">
        <is>
          <t>Planned</t>
        </is>
      </c>
    </row>
    <row r="308">
      <c r="A308" s="2" t="inlineStr">
        <is>
          <t>Sub-task</t>
        </is>
      </c>
      <c r="B308" s="2" t="inlineStr">
        <is>
          <t>CIN-SUB-249</t>
        </is>
      </c>
      <c r="C308" s="2" t="inlineStr">
        <is>
          <t>CIN-T-041</t>
        </is>
      </c>
      <c r="D308" s="2" t="inlineStr">
        <is>
          <t>Health Check</t>
        </is>
      </c>
      <c r="E308" s="2" t="inlineStr">
        <is>
          <t>PH-04</t>
        </is>
      </c>
      <c r="F308" s="2" t="inlineStr">
        <is>
          <t>Release, Verification &amp; Handover</t>
        </is>
      </c>
      <c r="G308" s="2" t="inlineStr">
        <is>
          <t>CIN-T-041</t>
        </is>
      </c>
      <c r="H308" s="2" t="inlineStr">
        <is>
          <t>24120098</t>
        </is>
      </c>
      <c r="I308" s="2" t="inlineStr">
        <is>
          <t>Nguyen Quoc Nam</t>
        </is>
      </c>
      <c r="J308" s="2" t="inlineStr">
        <is>
          <t>Sprint 5</t>
        </is>
      </c>
      <c r="K308" s="2" t="inlineStr">
        <is>
          <t>24120098</t>
        </is>
      </c>
      <c r="L308" s="2" t="inlineStr">
        <is>
          <t>Nguyen Quoc Nam</t>
        </is>
      </c>
      <c r="M308" s="3" t="n">
        <v>46354</v>
      </c>
      <c r="N308" s="3" t="n">
        <v>46368</v>
      </c>
      <c r="O308" s="2" t="n">
        <v>2</v>
      </c>
      <c r="P308" s="2" t="inlineStr">
        <is>
          <t>ORIG-249</t>
        </is>
      </c>
      <c r="Q308" s="2" t="inlineStr">
        <is>
          <t>Low</t>
        </is>
      </c>
      <c r="R308" s="2" t="inlineStr">
        <is>
          <t>Planned</t>
        </is>
      </c>
    </row>
    <row r="309">
      <c r="A309" s="2" t="inlineStr">
        <is>
          <t>Sub-task</t>
        </is>
      </c>
      <c r="B309" s="2" t="inlineStr">
        <is>
          <t>CIN-SUB-250</t>
        </is>
      </c>
      <c r="C309" s="2" t="inlineStr">
        <is>
          <t>CIN-T-041</t>
        </is>
      </c>
      <c r="D309" s="2" t="inlineStr">
        <is>
          <t>Logging</t>
        </is>
      </c>
      <c r="E309" s="2" t="inlineStr">
        <is>
          <t>PH-04</t>
        </is>
      </c>
      <c r="F309" s="2" t="inlineStr">
        <is>
          <t>Release, Verification &amp; Handover</t>
        </is>
      </c>
      <c r="G309" s="2" t="inlineStr">
        <is>
          <t>CIN-T-041</t>
        </is>
      </c>
      <c r="H309" s="2" t="inlineStr">
        <is>
          <t>24120098</t>
        </is>
      </c>
      <c r="I309" s="2" t="inlineStr">
        <is>
          <t>Nguyen Quoc Nam</t>
        </is>
      </c>
      <c r="J309" s="2" t="inlineStr">
        <is>
          <t>Sprint 5</t>
        </is>
      </c>
      <c r="K309" s="2" t="inlineStr">
        <is>
          <t>24120271</t>
        </is>
      </c>
      <c r="L309" s="2" t="inlineStr">
        <is>
          <t>Nguyen Trung Chinh</t>
        </is>
      </c>
      <c r="M309" s="3" t="n">
        <v>46354</v>
      </c>
      <c r="N309" s="3" t="n">
        <v>46368</v>
      </c>
      <c r="O309" s="2" t="n">
        <v>2</v>
      </c>
      <c r="P309" s="2" t="inlineStr">
        <is>
          <t>ORIG-250</t>
        </is>
      </c>
      <c r="Q309" s="2" t="inlineStr">
        <is>
          <t>Low</t>
        </is>
      </c>
      <c r="R309" s="2" t="inlineStr">
        <is>
          <t>Planned</t>
        </is>
      </c>
    </row>
    <row r="310">
      <c r="A310" s="2" t="inlineStr">
        <is>
          <t>Sub-task</t>
        </is>
      </c>
      <c r="B310" s="2" t="inlineStr">
        <is>
          <t>CIN-SUB-251</t>
        </is>
      </c>
      <c r="C310" s="2" t="inlineStr">
        <is>
          <t>CIN-T-041</t>
        </is>
      </c>
      <c r="D310" s="2" t="inlineStr">
        <is>
          <t>Error Monitoring</t>
        </is>
      </c>
      <c r="E310" s="2" t="inlineStr">
        <is>
          <t>PH-04</t>
        </is>
      </c>
      <c r="F310" s="2" t="inlineStr">
        <is>
          <t>Release, Verification &amp; Handover</t>
        </is>
      </c>
      <c r="G310" s="2" t="inlineStr">
        <is>
          <t>CIN-T-041</t>
        </is>
      </c>
      <c r="H310" s="2" t="inlineStr">
        <is>
          <t>24120098</t>
        </is>
      </c>
      <c r="I310" s="2" t="inlineStr">
        <is>
          <t>Nguyen Quoc Nam</t>
        </is>
      </c>
      <c r="J310" s="2" t="inlineStr">
        <is>
          <t>Sprint 5</t>
        </is>
      </c>
      <c r="K310" s="2" t="inlineStr">
        <is>
          <t>24120235</t>
        </is>
      </c>
      <c r="L310" s="2" t="inlineStr">
        <is>
          <t>Huynh Thanh Tu</t>
        </is>
      </c>
      <c r="M310" s="3" t="n">
        <v>46354</v>
      </c>
      <c r="N310" s="3" t="n">
        <v>46368</v>
      </c>
      <c r="O310" s="2" t="n">
        <v>2</v>
      </c>
      <c r="P310" s="2" t="inlineStr">
        <is>
          <t>ORIG-251</t>
        </is>
      </c>
      <c r="Q310" s="2" t="inlineStr">
        <is>
          <t>Low</t>
        </is>
      </c>
      <c r="R310" s="2" t="inlineStr">
        <is>
          <t>Planned</t>
        </is>
      </c>
    </row>
    <row r="311">
      <c r="A311" s="2" t="inlineStr">
        <is>
          <t>Sub-task</t>
        </is>
      </c>
      <c r="B311" s="2" t="inlineStr">
        <is>
          <t>CIN-SUB-252</t>
        </is>
      </c>
      <c r="C311" s="2" t="inlineStr">
        <is>
          <t>CIN-T-041</t>
        </is>
      </c>
      <c r="D311" s="2" t="inlineStr">
        <is>
          <t>Database Backup</t>
        </is>
      </c>
      <c r="E311" s="2" t="inlineStr">
        <is>
          <t>PH-04</t>
        </is>
      </c>
      <c r="F311" s="2" t="inlineStr">
        <is>
          <t>Release, Verification &amp; Handover</t>
        </is>
      </c>
      <c r="G311" s="2" t="inlineStr">
        <is>
          <t>CIN-T-041</t>
        </is>
      </c>
      <c r="H311" s="2" t="inlineStr">
        <is>
          <t>24120098</t>
        </is>
      </c>
      <c r="I311" s="2" t="inlineStr">
        <is>
          <t>Nguyen Quoc Nam</t>
        </is>
      </c>
      <c r="J311" s="2" t="inlineStr">
        <is>
          <t>Sprint 5</t>
        </is>
      </c>
      <c r="K311" s="2" t="inlineStr">
        <is>
          <t>24120255</t>
        </is>
      </c>
      <c r="L311" s="2" t="inlineStr">
        <is>
          <t>Tran Thien An</t>
        </is>
      </c>
      <c r="M311" s="3" t="n">
        <v>46354</v>
      </c>
      <c r="N311" s="3" t="n">
        <v>46368</v>
      </c>
      <c r="O311" s="2" t="n">
        <v>2</v>
      </c>
      <c r="P311" s="2" t="inlineStr">
        <is>
          <t>ORIG-252</t>
        </is>
      </c>
      <c r="Q311" s="2" t="inlineStr">
        <is>
          <t>Low</t>
        </is>
      </c>
      <c r="R311" s="2" t="inlineStr">
        <is>
          <t>Planned</t>
        </is>
      </c>
    </row>
    <row r="312">
      <c r="A312" s="2" t="inlineStr">
        <is>
          <t>Sub-task</t>
        </is>
      </c>
      <c r="B312" s="2" t="inlineStr">
        <is>
          <t>CIN-SUB-253</t>
        </is>
      </c>
      <c r="C312" s="2" t="inlineStr">
        <is>
          <t>CIN-T-041</t>
        </is>
      </c>
      <c r="D312" s="2" t="inlineStr">
        <is>
          <t>Database Restore Test</t>
        </is>
      </c>
      <c r="E312" s="2" t="inlineStr">
        <is>
          <t>PH-04</t>
        </is>
      </c>
      <c r="F312" s="2" t="inlineStr">
        <is>
          <t>Release, Verification &amp; Handover</t>
        </is>
      </c>
      <c r="G312" s="2" t="inlineStr">
        <is>
          <t>CIN-T-041</t>
        </is>
      </c>
      <c r="H312" s="2" t="inlineStr">
        <is>
          <t>24120098</t>
        </is>
      </c>
      <c r="I312" s="2" t="inlineStr">
        <is>
          <t>Nguyen Quoc Nam</t>
        </is>
      </c>
      <c r="J312" s="2" t="inlineStr">
        <is>
          <t>Sprint 5</t>
        </is>
      </c>
      <c r="K312" s="2" t="inlineStr">
        <is>
          <t>24120098</t>
        </is>
      </c>
      <c r="L312" s="2" t="inlineStr">
        <is>
          <t>Nguyen Quoc Nam</t>
        </is>
      </c>
      <c r="M312" s="3" t="n">
        <v>46354</v>
      </c>
      <c r="N312" s="3" t="n">
        <v>46368</v>
      </c>
      <c r="O312" s="2" t="n">
        <v>2</v>
      </c>
      <c r="P312" s="2" t="inlineStr">
        <is>
          <t>ORIG-253</t>
        </is>
      </c>
      <c r="Q312" s="2" t="inlineStr">
        <is>
          <t>Low</t>
        </is>
      </c>
      <c r="R312" s="2" t="inlineStr">
        <is>
          <t>Planned</t>
        </is>
      </c>
    </row>
    <row r="313">
      <c r="A313" s="2" t="inlineStr">
        <is>
          <t>Sub-task</t>
        </is>
      </c>
      <c r="B313" s="2" t="inlineStr">
        <is>
          <t>CIN-SUB-254</t>
        </is>
      </c>
      <c r="C313" s="2" t="inlineStr">
        <is>
          <t>CIN-T-041</t>
        </is>
      </c>
      <c r="D313" s="2" t="inlineStr">
        <is>
          <t>Monitoring</t>
        </is>
      </c>
      <c r="E313" s="2" t="inlineStr">
        <is>
          <t>PH-04</t>
        </is>
      </c>
      <c r="F313" s="2" t="inlineStr">
        <is>
          <t>Release, Verification &amp; Handover</t>
        </is>
      </c>
      <c r="G313" s="2" t="inlineStr">
        <is>
          <t>CIN-T-041</t>
        </is>
      </c>
      <c r="H313" s="2" t="inlineStr">
        <is>
          <t>24120098</t>
        </is>
      </c>
      <c r="I313" s="2" t="inlineStr">
        <is>
          <t>Nguyen Quoc Nam</t>
        </is>
      </c>
      <c r="J313" s="2" t="inlineStr">
        <is>
          <t>Sprint 5</t>
        </is>
      </c>
      <c r="K313" s="2" t="inlineStr">
        <is>
          <t>24120271</t>
        </is>
      </c>
      <c r="L313" s="2" t="inlineStr">
        <is>
          <t>Nguyen Trung Chinh</t>
        </is>
      </c>
      <c r="M313" s="3" t="n">
        <v>46354</v>
      </c>
      <c r="N313" s="3" t="n">
        <v>46368</v>
      </c>
      <c r="O313" s="2" t="n">
        <v>2</v>
      </c>
      <c r="P313" s="2" t="inlineStr">
        <is>
          <t>ORIG-254</t>
        </is>
      </c>
      <c r="Q313" s="2" t="inlineStr">
        <is>
          <t>Low</t>
        </is>
      </c>
      <c r="R313" s="2" t="inlineStr">
        <is>
          <t>Planned</t>
        </is>
      </c>
    </row>
    <row r="314">
      <c r="A314" s="2" t="inlineStr">
        <is>
          <t>Sub-task</t>
        </is>
      </c>
      <c r="B314" s="2" t="inlineStr">
        <is>
          <t>CIN-SUB-255</t>
        </is>
      </c>
      <c r="C314" s="2" t="inlineStr">
        <is>
          <t>CIN-T-041</t>
        </is>
      </c>
      <c r="D314" s="2" t="inlineStr">
        <is>
          <t>Performance Check</t>
        </is>
      </c>
      <c r="E314" s="2" t="inlineStr">
        <is>
          <t>PH-04</t>
        </is>
      </c>
      <c r="F314" s="2" t="inlineStr">
        <is>
          <t>Release, Verification &amp; Handover</t>
        </is>
      </c>
      <c r="G314" s="2" t="inlineStr">
        <is>
          <t>CIN-T-041</t>
        </is>
      </c>
      <c r="H314" s="2" t="inlineStr">
        <is>
          <t>24120098</t>
        </is>
      </c>
      <c r="I314" s="2" t="inlineStr">
        <is>
          <t>Nguyen Quoc Nam</t>
        </is>
      </c>
      <c r="J314" s="2" t="inlineStr">
        <is>
          <t>Sprint 5</t>
        </is>
      </c>
      <c r="K314" s="2" t="inlineStr">
        <is>
          <t>24120244</t>
        </is>
      </c>
      <c r="L314" s="2" t="inlineStr">
        <is>
          <t>Phan Van Viet</t>
        </is>
      </c>
      <c r="M314" s="3" t="n">
        <v>46354</v>
      </c>
      <c r="N314" s="3" t="n">
        <v>46368</v>
      </c>
      <c r="O314" s="2" t="n">
        <v>2</v>
      </c>
      <c r="P314" s="2" t="inlineStr">
        <is>
          <t>ORIG-255</t>
        </is>
      </c>
      <c r="Q314" s="2" t="inlineStr">
        <is>
          <t>Low</t>
        </is>
      </c>
      <c r="R314" s="2" t="inlineStr">
        <is>
          <t>Planned</t>
        </is>
      </c>
    </row>
    <row r="315">
      <c r="A315" s="2" t="inlineStr">
        <is>
          <t>Sub-task</t>
        </is>
      </c>
      <c r="B315" s="2" t="inlineStr">
        <is>
          <t>CIN-SUB-256</t>
        </is>
      </c>
      <c r="C315" s="2" t="inlineStr">
        <is>
          <t>CIN-T-041</t>
        </is>
      </c>
      <c r="D315" s="2" t="inlineStr">
        <is>
          <t>Production Smoke Test</t>
        </is>
      </c>
      <c r="E315" s="2" t="inlineStr">
        <is>
          <t>PH-04</t>
        </is>
      </c>
      <c r="F315" s="2" t="inlineStr">
        <is>
          <t>Release, Verification &amp; Handover</t>
        </is>
      </c>
      <c r="G315" s="2" t="inlineStr">
        <is>
          <t>CIN-T-041</t>
        </is>
      </c>
      <c r="H315" s="2" t="inlineStr">
        <is>
          <t>24120098</t>
        </is>
      </c>
      <c r="I315" s="2" t="inlineStr">
        <is>
          <t>Nguyen Quoc Nam</t>
        </is>
      </c>
      <c r="J315" s="2" t="inlineStr">
        <is>
          <t>Sprint 5</t>
        </is>
      </c>
      <c r="K315" s="2" t="inlineStr">
        <is>
          <t>24120235</t>
        </is>
      </c>
      <c r="L315" s="2" t="inlineStr">
        <is>
          <t>Huynh Thanh Tu</t>
        </is>
      </c>
      <c r="M315" s="3" t="n">
        <v>46354</v>
      </c>
      <c r="N315" s="3" t="n">
        <v>46368</v>
      </c>
      <c r="O315" s="2" t="n">
        <v>2</v>
      </c>
      <c r="P315" s="2" t="inlineStr">
        <is>
          <t>ORIG-256</t>
        </is>
      </c>
      <c r="Q315" s="2" t="inlineStr">
        <is>
          <t>Low</t>
        </is>
      </c>
      <c r="R315" s="2" t="inlineStr">
        <is>
          <t>Planned</t>
        </is>
      </c>
    </row>
    <row r="316">
      <c r="A316" s="6" t="inlineStr">
        <is>
          <t>Task</t>
        </is>
      </c>
      <c r="B316" s="6" t="inlineStr">
        <is>
          <t>CIN-T-044</t>
        </is>
      </c>
      <c r="C316" s="6" t="inlineStr">
        <is>
          <t>PH-04</t>
        </is>
      </c>
      <c r="D316" s="6" t="inlineStr">
        <is>
          <t>Hoàn thiện hướng dẫn triển khai và sử dụng</t>
        </is>
      </c>
      <c r="E316" s="6" t="inlineStr">
        <is>
          <t>PH-04</t>
        </is>
      </c>
      <c r="F316" s="6" t="inlineStr">
        <is>
          <t>Release, Verification &amp; Handover</t>
        </is>
      </c>
      <c r="G316" s="6" t="inlineStr">
        <is>
          <t>CIN-T-044</t>
        </is>
      </c>
      <c r="H316" s="6" t="inlineStr">
        <is>
          <t>24120255</t>
        </is>
      </c>
      <c r="I316" s="6" t="inlineStr">
        <is>
          <t>Tran Thien An</t>
        </is>
      </c>
      <c r="J316" s="6" t="inlineStr">
        <is>
          <t>Sprint 5</t>
        </is>
      </c>
      <c r="K316" s="6" t="inlineStr"/>
      <c r="L316" s="6" t="inlineStr"/>
      <c r="M316" s="7" t="n">
        <v>46354</v>
      </c>
      <c r="N316" s="7" t="n">
        <v>46368</v>
      </c>
      <c r="O316" s="6">
        <f>SUMIFS('Master Subtasks'!$V$2:$V$293,'Master Subtasks'!$L$2:$L$293,$B316)</f>
        <v/>
      </c>
      <c r="P316" s="6" t="inlineStr"/>
      <c r="Q316" s="6" t="inlineStr">
        <is>
          <t>Medium</t>
        </is>
      </c>
      <c r="R316" s="6" t="inlineStr">
        <is>
          <t>Planned</t>
        </is>
      </c>
    </row>
    <row r="317">
      <c r="A317" s="2" t="inlineStr">
        <is>
          <t>Sub-task</t>
        </is>
      </c>
      <c r="B317" s="2" t="inlineStr">
        <is>
          <t>CIN-SUB-261</t>
        </is>
      </c>
      <c r="C317" s="2" t="inlineStr">
        <is>
          <t>CIN-T-044</t>
        </is>
      </c>
      <c r="D317" s="2" t="inlineStr">
        <is>
          <t>Deployment Documentation</t>
        </is>
      </c>
      <c r="E317" s="2" t="inlineStr">
        <is>
          <t>PH-04</t>
        </is>
      </c>
      <c r="F317" s="2" t="inlineStr">
        <is>
          <t>Release, Verification &amp; Handover</t>
        </is>
      </c>
      <c r="G317" s="2" t="inlineStr">
        <is>
          <t>CIN-T-044</t>
        </is>
      </c>
      <c r="H317" s="2" t="inlineStr">
        <is>
          <t>24120255</t>
        </is>
      </c>
      <c r="I317" s="2" t="inlineStr">
        <is>
          <t>Tran Thien An</t>
        </is>
      </c>
      <c r="J317" s="2" t="inlineStr">
        <is>
          <t>Sprint 5</t>
        </is>
      </c>
      <c r="K317" s="2" t="inlineStr">
        <is>
          <t>24120255</t>
        </is>
      </c>
      <c r="L317" s="2" t="inlineStr">
        <is>
          <t>Tran Thien An</t>
        </is>
      </c>
      <c r="M317" s="3" t="n">
        <v>46354</v>
      </c>
      <c r="N317" s="3" t="n">
        <v>46368</v>
      </c>
      <c r="O317" s="2" t="n">
        <v>3</v>
      </c>
      <c r="P317" s="2" t="inlineStr">
        <is>
          <t>ORIG-261</t>
        </is>
      </c>
      <c r="Q317" s="2" t="inlineStr">
        <is>
          <t>Medium</t>
        </is>
      </c>
      <c r="R317" s="2" t="inlineStr">
        <is>
          <t>Planned</t>
        </is>
      </c>
    </row>
    <row r="318">
      <c r="A318" s="2" t="inlineStr">
        <is>
          <t>Sub-task</t>
        </is>
      </c>
      <c r="B318" s="2" t="inlineStr">
        <is>
          <t>CIN-SUB-263</t>
        </is>
      </c>
      <c r="C318" s="2" t="inlineStr">
        <is>
          <t>CIN-T-044</t>
        </is>
      </c>
      <c r="D318" s="2" t="inlineStr">
        <is>
          <t>User Guide</t>
        </is>
      </c>
      <c r="E318" s="2" t="inlineStr">
        <is>
          <t>PH-04</t>
        </is>
      </c>
      <c r="F318" s="2" t="inlineStr">
        <is>
          <t>Release, Verification &amp; Handover</t>
        </is>
      </c>
      <c r="G318" s="2" t="inlineStr">
        <is>
          <t>CIN-T-044</t>
        </is>
      </c>
      <c r="H318" s="2" t="inlineStr">
        <is>
          <t>24120255</t>
        </is>
      </c>
      <c r="I318" s="2" t="inlineStr">
        <is>
          <t>Tran Thien An</t>
        </is>
      </c>
      <c r="J318" s="2" t="inlineStr">
        <is>
          <t>Sprint 5</t>
        </is>
      </c>
      <c r="K318" s="2" t="inlineStr">
        <is>
          <t>24120098</t>
        </is>
      </c>
      <c r="L318" s="2" t="inlineStr">
        <is>
          <t>Nguyen Quoc Nam</t>
        </is>
      </c>
      <c r="M318" s="3" t="n">
        <v>46354</v>
      </c>
      <c r="N318" s="3" t="n">
        <v>46368</v>
      </c>
      <c r="O318" s="2" t="n">
        <v>2</v>
      </c>
      <c r="P318" s="2" t="inlineStr">
        <is>
          <t>ORIG-263</t>
        </is>
      </c>
      <c r="Q318" s="2" t="inlineStr">
        <is>
          <t>Medium</t>
        </is>
      </c>
      <c r="R318" s="2" t="inlineStr">
        <is>
          <t>Planned</t>
        </is>
      </c>
    </row>
    <row r="319">
      <c r="A319" s="6" t="inlineStr">
        <is>
          <t>Task</t>
        </is>
      </c>
      <c r="B319" s="6" t="inlineStr">
        <is>
          <t>CIN-T-045</t>
        </is>
      </c>
      <c r="C319" s="6" t="inlineStr">
        <is>
          <t>PH-04</t>
        </is>
      </c>
      <c r="D319" s="6" t="inlineStr">
        <is>
          <t>Tích hợp toàn hệ thống và xử lý lỗi release</t>
        </is>
      </c>
      <c r="E319" s="6" t="inlineStr">
        <is>
          <t>PH-04</t>
        </is>
      </c>
      <c r="F319" s="6" t="inlineStr">
        <is>
          <t>Release, Verification &amp; Handover</t>
        </is>
      </c>
      <c r="G319" s="6" t="inlineStr">
        <is>
          <t>CIN-T-045</t>
        </is>
      </c>
      <c r="H319" s="6" t="inlineStr">
        <is>
          <t>24120244</t>
        </is>
      </c>
      <c r="I319" s="6" t="inlineStr">
        <is>
          <t>Phan Van Viet</t>
        </is>
      </c>
      <c r="J319" s="6" t="inlineStr">
        <is>
          <t>Sprint 5</t>
        </is>
      </c>
      <c r="K319" s="6" t="inlineStr"/>
      <c r="L319" s="6" t="inlineStr"/>
      <c r="M319" s="7" t="n">
        <v>46354</v>
      </c>
      <c r="N319" s="7" t="n">
        <v>46368</v>
      </c>
      <c r="O319" s="6">
        <f>SUMIFS('Master Subtasks'!$V$2:$V$293,'Master Subtasks'!$L$2:$L$293,$B319)</f>
        <v/>
      </c>
      <c r="P319" s="6" t="inlineStr"/>
      <c r="Q319" s="6" t="inlineStr">
        <is>
          <t>High</t>
        </is>
      </c>
      <c r="R319" s="6" t="inlineStr">
        <is>
          <t>Planned</t>
        </is>
      </c>
    </row>
    <row r="320">
      <c r="A320" s="2" t="inlineStr">
        <is>
          <t>Sub-task</t>
        </is>
      </c>
      <c r="B320" s="2" t="inlineStr">
        <is>
          <t>CIN-SUB-264</t>
        </is>
      </c>
      <c r="C320" s="2" t="inlineStr">
        <is>
          <t>CIN-T-045</t>
        </is>
      </c>
      <c r="D320" s="2" t="inlineStr">
        <is>
          <t>Merge toàn bộ module</t>
        </is>
      </c>
      <c r="E320" s="2" t="inlineStr">
        <is>
          <t>PH-04</t>
        </is>
      </c>
      <c r="F320" s="2" t="inlineStr">
        <is>
          <t>Release, Verification &amp; Handover</t>
        </is>
      </c>
      <c r="G320" s="2" t="inlineStr">
        <is>
          <t>CIN-T-045</t>
        </is>
      </c>
      <c r="H320" s="2" t="inlineStr">
        <is>
          <t>24120244</t>
        </is>
      </c>
      <c r="I320" s="2" t="inlineStr">
        <is>
          <t>Phan Van Viet</t>
        </is>
      </c>
      <c r="J320" s="2" t="inlineStr">
        <is>
          <t>Sprint 5</t>
        </is>
      </c>
      <c r="K320" s="2" t="inlineStr">
        <is>
          <t>24120244</t>
        </is>
      </c>
      <c r="L320" s="2" t="inlineStr">
        <is>
          <t>Phan Van Viet</t>
        </is>
      </c>
      <c r="M320" s="3" t="n">
        <v>46354</v>
      </c>
      <c r="N320" s="3" t="n">
        <v>46368</v>
      </c>
      <c r="O320" s="2" t="n">
        <v>3</v>
      </c>
      <c r="P320" s="2" t="inlineStr">
        <is>
          <t>ORIG-264</t>
        </is>
      </c>
      <c r="Q320" s="2" t="inlineStr">
        <is>
          <t>High</t>
        </is>
      </c>
      <c r="R320" s="2" t="inlineStr">
        <is>
          <t>Planned</t>
        </is>
      </c>
    </row>
    <row r="321">
      <c r="A321" s="2" t="inlineStr">
        <is>
          <t>Sub-task</t>
        </is>
      </c>
      <c r="B321" s="2" t="inlineStr">
        <is>
          <t>CIN-SUB-265</t>
        </is>
      </c>
      <c r="C321" s="2" t="inlineStr">
        <is>
          <t>CIN-T-045</t>
        </is>
      </c>
      <c r="D321" s="2" t="inlineStr">
        <is>
          <t>Kiểm tra API Integration</t>
        </is>
      </c>
      <c r="E321" s="2" t="inlineStr">
        <is>
          <t>PH-04</t>
        </is>
      </c>
      <c r="F321" s="2" t="inlineStr">
        <is>
          <t>Release, Verification &amp; Handover</t>
        </is>
      </c>
      <c r="G321" s="2" t="inlineStr">
        <is>
          <t>CIN-T-045</t>
        </is>
      </c>
      <c r="H321" s="2" t="inlineStr">
        <is>
          <t>24120244</t>
        </is>
      </c>
      <c r="I321" s="2" t="inlineStr">
        <is>
          <t>Phan Van Viet</t>
        </is>
      </c>
      <c r="J321" s="2" t="inlineStr">
        <is>
          <t>Sprint 5</t>
        </is>
      </c>
      <c r="K321" s="2" t="inlineStr">
        <is>
          <t>24120271</t>
        </is>
      </c>
      <c r="L321" s="2" t="inlineStr">
        <is>
          <t>Nguyen Trung Chinh</t>
        </is>
      </c>
      <c r="M321" s="3" t="n">
        <v>46354</v>
      </c>
      <c r="N321" s="3" t="n">
        <v>46368</v>
      </c>
      <c r="O321" s="2" t="n">
        <v>3</v>
      </c>
      <c r="P321" s="2" t="inlineStr">
        <is>
          <t>ORIG-265</t>
        </is>
      </c>
      <c r="Q321" s="2" t="inlineStr">
        <is>
          <t>High</t>
        </is>
      </c>
      <c r="R321" s="2" t="inlineStr">
        <is>
          <t>Planned</t>
        </is>
      </c>
    </row>
    <row r="322">
      <c r="A322" s="2" t="inlineStr">
        <is>
          <t>Sub-task</t>
        </is>
      </c>
      <c r="B322" s="2" t="inlineStr">
        <is>
          <t>CIN-SUB-266</t>
        </is>
      </c>
      <c r="C322" s="2" t="inlineStr">
        <is>
          <t>CIN-T-045</t>
        </is>
      </c>
      <c r="D322" s="2" t="inlineStr">
        <is>
          <t>Kiểm tra Authentication</t>
        </is>
      </c>
      <c r="E322" s="2" t="inlineStr">
        <is>
          <t>PH-04</t>
        </is>
      </c>
      <c r="F322" s="2" t="inlineStr">
        <is>
          <t>Release, Verification &amp; Handover</t>
        </is>
      </c>
      <c r="G322" s="2" t="inlineStr">
        <is>
          <t>CIN-T-045</t>
        </is>
      </c>
      <c r="H322" s="2" t="inlineStr">
        <is>
          <t>24120244</t>
        </is>
      </c>
      <c r="I322" s="2" t="inlineStr">
        <is>
          <t>Phan Van Viet</t>
        </is>
      </c>
      <c r="J322" s="2" t="inlineStr">
        <is>
          <t>Sprint 5</t>
        </is>
      </c>
      <c r="K322" s="2" t="inlineStr">
        <is>
          <t>24120098</t>
        </is>
      </c>
      <c r="L322" s="2" t="inlineStr">
        <is>
          <t>Nguyen Quoc Nam</t>
        </is>
      </c>
      <c r="M322" s="3" t="n">
        <v>46354</v>
      </c>
      <c r="N322" s="3" t="n">
        <v>46368</v>
      </c>
      <c r="O322" s="2" t="n">
        <v>3</v>
      </c>
      <c r="P322" s="2" t="inlineStr">
        <is>
          <t>ORIG-266</t>
        </is>
      </c>
      <c r="Q322" s="2" t="inlineStr">
        <is>
          <t>High</t>
        </is>
      </c>
      <c r="R322" s="2" t="inlineStr">
        <is>
          <t>Planned</t>
        </is>
      </c>
    </row>
    <row r="323">
      <c r="A323" s="2" t="inlineStr">
        <is>
          <t>Sub-task</t>
        </is>
      </c>
      <c r="B323" s="2" t="inlineStr">
        <is>
          <t>CIN-SUB-267</t>
        </is>
      </c>
      <c r="C323" s="2" t="inlineStr">
        <is>
          <t>CIN-T-045</t>
        </is>
      </c>
      <c r="D323" s="2" t="inlineStr">
        <is>
          <t>Kiểm tra Booking Flow</t>
        </is>
      </c>
      <c r="E323" s="2" t="inlineStr">
        <is>
          <t>PH-04</t>
        </is>
      </c>
      <c r="F323" s="2" t="inlineStr">
        <is>
          <t>Release, Verification &amp; Handover</t>
        </is>
      </c>
      <c r="G323" s="2" t="inlineStr">
        <is>
          <t>CIN-T-045</t>
        </is>
      </c>
      <c r="H323" s="2" t="inlineStr">
        <is>
          <t>24120244</t>
        </is>
      </c>
      <c r="I323" s="2" t="inlineStr">
        <is>
          <t>Phan Van Viet</t>
        </is>
      </c>
      <c r="J323" s="2" t="inlineStr">
        <is>
          <t>Sprint 5</t>
        </is>
      </c>
      <c r="K323" s="2" t="inlineStr">
        <is>
          <t>24120235</t>
        </is>
      </c>
      <c r="L323" s="2" t="inlineStr">
        <is>
          <t>Huynh Thanh Tu</t>
        </is>
      </c>
      <c r="M323" s="3" t="n">
        <v>46354</v>
      </c>
      <c r="N323" s="3" t="n">
        <v>46368</v>
      </c>
      <c r="O323" s="2" t="n">
        <v>3</v>
      </c>
      <c r="P323" s="2" t="inlineStr">
        <is>
          <t>ORIG-267</t>
        </is>
      </c>
      <c r="Q323" s="2" t="inlineStr">
        <is>
          <t>High</t>
        </is>
      </c>
      <c r="R323" s="2" t="inlineStr">
        <is>
          <t>Planned</t>
        </is>
      </c>
    </row>
    <row r="324">
      <c r="A324" s="2" t="inlineStr">
        <is>
          <t>Sub-task</t>
        </is>
      </c>
      <c r="B324" s="2" t="inlineStr">
        <is>
          <t>CIN-SUB-268</t>
        </is>
      </c>
      <c r="C324" s="2" t="inlineStr">
        <is>
          <t>CIN-T-045</t>
        </is>
      </c>
      <c r="D324" s="2" t="inlineStr">
        <is>
          <t>Kiểm tra Admin Flow</t>
        </is>
      </c>
      <c r="E324" s="2" t="inlineStr">
        <is>
          <t>PH-04</t>
        </is>
      </c>
      <c r="F324" s="2" t="inlineStr">
        <is>
          <t>Release, Verification &amp; Handover</t>
        </is>
      </c>
      <c r="G324" s="2" t="inlineStr">
        <is>
          <t>CIN-T-045</t>
        </is>
      </c>
      <c r="H324" s="2" t="inlineStr">
        <is>
          <t>24120244</t>
        </is>
      </c>
      <c r="I324" s="2" t="inlineStr">
        <is>
          <t>Phan Van Viet</t>
        </is>
      </c>
      <c r="J324" s="2" t="inlineStr">
        <is>
          <t>Sprint 5</t>
        </is>
      </c>
      <c r="K324" s="2" t="inlineStr">
        <is>
          <t>24120255</t>
        </is>
      </c>
      <c r="L324" s="2" t="inlineStr">
        <is>
          <t>Tran Thien An</t>
        </is>
      </c>
      <c r="M324" s="3" t="n">
        <v>46354</v>
      </c>
      <c r="N324" s="3" t="n">
        <v>46368</v>
      </c>
      <c r="O324" s="2" t="n">
        <v>3</v>
      </c>
      <c r="P324" s="2" t="inlineStr">
        <is>
          <t>ORIG-268</t>
        </is>
      </c>
      <c r="Q324" s="2" t="inlineStr">
        <is>
          <t>High</t>
        </is>
      </c>
      <c r="R324" s="2" t="inlineStr">
        <is>
          <t>Planned</t>
        </is>
      </c>
    </row>
    <row r="325">
      <c r="A325" s="2" t="inlineStr">
        <is>
          <t>Sub-task</t>
        </is>
      </c>
      <c r="B325" s="2" t="inlineStr">
        <is>
          <t>CIN-SUB-269</t>
        </is>
      </c>
      <c r="C325" s="2" t="inlineStr">
        <is>
          <t>CIN-T-045</t>
        </is>
      </c>
      <c r="D325" s="2" t="inlineStr">
        <is>
          <t>Kiểm tra Database</t>
        </is>
      </c>
      <c r="E325" s="2" t="inlineStr">
        <is>
          <t>PH-04</t>
        </is>
      </c>
      <c r="F325" s="2" t="inlineStr">
        <is>
          <t>Release, Verification &amp; Handover</t>
        </is>
      </c>
      <c r="G325" s="2" t="inlineStr">
        <is>
          <t>CIN-T-045</t>
        </is>
      </c>
      <c r="H325" s="2" t="inlineStr">
        <is>
          <t>24120244</t>
        </is>
      </c>
      <c r="I325" s="2" t="inlineStr">
        <is>
          <t>Phan Van Viet</t>
        </is>
      </c>
      <c r="J325" s="2" t="inlineStr">
        <is>
          <t>Sprint 5</t>
        </is>
      </c>
      <c r="K325" s="2" t="inlineStr">
        <is>
          <t>24120244</t>
        </is>
      </c>
      <c r="L325" s="2" t="inlineStr">
        <is>
          <t>Phan Van Viet</t>
        </is>
      </c>
      <c r="M325" s="3" t="n">
        <v>46354</v>
      </c>
      <c r="N325" s="3" t="n">
        <v>46368</v>
      </c>
      <c r="O325" s="2" t="n">
        <v>3</v>
      </c>
      <c r="P325" s="2" t="inlineStr">
        <is>
          <t>ORIG-269</t>
        </is>
      </c>
      <c r="Q325" s="2" t="inlineStr">
        <is>
          <t>High</t>
        </is>
      </c>
      <c r="R325" s="2" t="inlineStr">
        <is>
          <t>Planned</t>
        </is>
      </c>
    </row>
    <row r="326">
      <c r="A326" s="2" t="inlineStr">
        <is>
          <t>Sub-task</t>
        </is>
      </c>
      <c r="B326" s="2" t="inlineStr">
        <is>
          <t>CIN-SUB-270</t>
        </is>
      </c>
      <c r="C326" s="2" t="inlineStr">
        <is>
          <t>CIN-T-045</t>
        </is>
      </c>
      <c r="D326" s="2" t="inlineStr">
        <is>
          <t>Kiểm tra Deployment</t>
        </is>
      </c>
      <c r="E326" s="2" t="inlineStr">
        <is>
          <t>PH-04</t>
        </is>
      </c>
      <c r="F326" s="2" t="inlineStr">
        <is>
          <t>Release, Verification &amp; Handover</t>
        </is>
      </c>
      <c r="G326" s="2" t="inlineStr">
        <is>
          <t>CIN-T-045</t>
        </is>
      </c>
      <c r="H326" s="2" t="inlineStr">
        <is>
          <t>24120244</t>
        </is>
      </c>
      <c r="I326" s="2" t="inlineStr">
        <is>
          <t>Phan Van Viet</t>
        </is>
      </c>
      <c r="J326" s="2" t="inlineStr">
        <is>
          <t>Sprint 5</t>
        </is>
      </c>
      <c r="K326" s="2" t="inlineStr">
        <is>
          <t>24120271</t>
        </is>
      </c>
      <c r="L326" s="2" t="inlineStr">
        <is>
          <t>Nguyen Trung Chinh</t>
        </is>
      </c>
      <c r="M326" s="3" t="n">
        <v>46354</v>
      </c>
      <c r="N326" s="3" t="n">
        <v>46368</v>
      </c>
      <c r="O326" s="2" t="n">
        <v>3</v>
      </c>
      <c r="P326" s="2" t="inlineStr">
        <is>
          <t>ORIG-270</t>
        </is>
      </c>
      <c r="Q326" s="2" t="inlineStr">
        <is>
          <t>High</t>
        </is>
      </c>
      <c r="R326" s="2" t="inlineStr">
        <is>
          <t>Planned</t>
        </is>
      </c>
    </row>
    <row r="327">
      <c r="A327" s="2" t="inlineStr">
        <is>
          <t>Sub-task</t>
        </is>
      </c>
      <c r="B327" s="2" t="inlineStr">
        <is>
          <t>CIN-SUB-271</t>
        </is>
      </c>
      <c r="C327" s="2" t="inlineStr">
        <is>
          <t>CIN-T-045</t>
        </is>
      </c>
      <c r="D327" s="2" t="inlineStr">
        <is>
          <t>Final Bug Fix</t>
        </is>
      </c>
      <c r="E327" s="2" t="inlineStr">
        <is>
          <t>PH-04</t>
        </is>
      </c>
      <c r="F327" s="2" t="inlineStr">
        <is>
          <t>Release, Verification &amp; Handover</t>
        </is>
      </c>
      <c r="G327" s="2" t="inlineStr">
        <is>
          <t>CIN-T-045</t>
        </is>
      </c>
      <c r="H327" s="2" t="inlineStr">
        <is>
          <t>24120244</t>
        </is>
      </c>
      <c r="I327" s="2" t="inlineStr">
        <is>
          <t>Phan Van Viet</t>
        </is>
      </c>
      <c r="J327" s="2" t="inlineStr">
        <is>
          <t>Sprint 5</t>
        </is>
      </c>
      <c r="K327" s="2" t="inlineStr">
        <is>
          <t>24120098</t>
        </is>
      </c>
      <c r="L327" s="2" t="inlineStr">
        <is>
          <t>Nguyen Quoc Nam</t>
        </is>
      </c>
      <c r="M327" s="3" t="n">
        <v>46354</v>
      </c>
      <c r="N327" s="3" t="n">
        <v>46368</v>
      </c>
      <c r="O327" s="2" t="n">
        <v>2</v>
      </c>
      <c r="P327" s="2" t="inlineStr">
        <is>
          <t>ORIG-271</t>
        </is>
      </c>
      <c r="Q327" s="2" t="inlineStr">
        <is>
          <t>High</t>
        </is>
      </c>
      <c r="R327" s="2" t="inlineStr">
        <is>
          <t>Planned</t>
        </is>
      </c>
    </row>
    <row r="328">
      <c r="A328" s="6" t="inlineStr">
        <is>
          <t>Task</t>
        </is>
      </c>
      <c r="B328" s="6" t="inlineStr">
        <is>
          <t>CIN-T-046</t>
        </is>
      </c>
      <c r="C328" s="6" t="inlineStr">
        <is>
          <t>PH-04</t>
        </is>
      </c>
      <c r="D328" s="6" t="inlineStr">
        <is>
          <t>Chuẩn bị dữ liệu, tài khoản và kịch bản demo</t>
        </is>
      </c>
      <c r="E328" s="6" t="inlineStr">
        <is>
          <t>PH-04</t>
        </is>
      </c>
      <c r="F328" s="6" t="inlineStr">
        <is>
          <t>Release, Verification &amp; Handover</t>
        </is>
      </c>
      <c r="G328" s="6" t="inlineStr">
        <is>
          <t>CIN-T-046</t>
        </is>
      </c>
      <c r="H328" s="6" t="inlineStr">
        <is>
          <t>24120255</t>
        </is>
      </c>
      <c r="I328" s="6" t="inlineStr">
        <is>
          <t>Tran Thien An</t>
        </is>
      </c>
      <c r="J328" s="6" t="inlineStr">
        <is>
          <t>Sprint 5</t>
        </is>
      </c>
      <c r="K328" s="6" t="inlineStr"/>
      <c r="L328" s="6" t="inlineStr"/>
      <c r="M328" s="7" t="n">
        <v>46354</v>
      </c>
      <c r="N328" s="7" t="n">
        <v>46368</v>
      </c>
      <c r="O328" s="6">
        <f>SUMIFS('Master Subtasks'!$V$2:$V$293,'Master Subtasks'!$L$2:$L$293,$B328)</f>
        <v/>
      </c>
      <c r="P328" s="6" t="inlineStr"/>
      <c r="Q328" s="6" t="inlineStr">
        <is>
          <t>High</t>
        </is>
      </c>
      <c r="R328" s="6" t="inlineStr">
        <is>
          <t>Planned</t>
        </is>
      </c>
    </row>
    <row r="329">
      <c r="A329" s="2" t="inlineStr">
        <is>
          <t>Sub-task</t>
        </is>
      </c>
      <c r="B329" s="2" t="inlineStr">
        <is>
          <t>CIN-SUB-272</t>
        </is>
      </c>
      <c r="C329" s="2" t="inlineStr">
        <is>
          <t>CIN-T-046</t>
        </is>
      </c>
      <c r="D329" s="2" t="inlineStr">
        <is>
          <t>Chuẩn bị tài khoản Demo</t>
        </is>
      </c>
      <c r="E329" s="2" t="inlineStr">
        <is>
          <t>PH-04</t>
        </is>
      </c>
      <c r="F329" s="2" t="inlineStr">
        <is>
          <t>Release, Verification &amp; Handover</t>
        </is>
      </c>
      <c r="G329" s="2" t="inlineStr">
        <is>
          <t>CIN-T-046</t>
        </is>
      </c>
      <c r="H329" s="2" t="inlineStr">
        <is>
          <t>24120255</t>
        </is>
      </c>
      <c r="I329" s="2" t="inlineStr">
        <is>
          <t>Tran Thien An</t>
        </is>
      </c>
      <c r="J329" s="2" t="inlineStr">
        <is>
          <t>Sprint 5</t>
        </is>
      </c>
      <c r="K329" s="2" t="inlineStr">
        <is>
          <t>24120235</t>
        </is>
      </c>
      <c r="L329" s="2" t="inlineStr">
        <is>
          <t>Huynh Thanh Tu</t>
        </is>
      </c>
      <c r="M329" s="3" t="n">
        <v>46354</v>
      </c>
      <c r="N329" s="3" t="n">
        <v>46368</v>
      </c>
      <c r="O329" s="2" t="n">
        <v>2</v>
      </c>
      <c r="P329" s="2" t="inlineStr">
        <is>
          <t>ORIG-272</t>
        </is>
      </c>
      <c r="Q329" s="2" t="inlineStr">
        <is>
          <t>High</t>
        </is>
      </c>
      <c r="R329" s="2" t="inlineStr">
        <is>
          <t>Planned</t>
        </is>
      </c>
    </row>
    <row r="330">
      <c r="A330" s="2" t="inlineStr">
        <is>
          <t>Sub-task</t>
        </is>
      </c>
      <c r="B330" s="2" t="inlineStr">
        <is>
          <t>CIN-SUB-273</t>
        </is>
      </c>
      <c r="C330" s="2" t="inlineStr">
        <is>
          <t>CIN-T-046</t>
        </is>
      </c>
      <c r="D330" s="2" t="inlineStr">
        <is>
          <t>Chuẩn bị dữ liệu Demo</t>
        </is>
      </c>
      <c r="E330" s="2" t="inlineStr">
        <is>
          <t>PH-04</t>
        </is>
      </c>
      <c r="F330" s="2" t="inlineStr">
        <is>
          <t>Release, Verification &amp; Handover</t>
        </is>
      </c>
      <c r="G330" s="2" t="inlineStr">
        <is>
          <t>CIN-T-046</t>
        </is>
      </c>
      <c r="H330" s="2" t="inlineStr">
        <is>
          <t>24120255</t>
        </is>
      </c>
      <c r="I330" s="2" t="inlineStr">
        <is>
          <t>Tran Thien An</t>
        </is>
      </c>
      <c r="J330" s="2" t="inlineStr">
        <is>
          <t>Sprint 5</t>
        </is>
      </c>
      <c r="K330" s="2" t="inlineStr">
        <is>
          <t>24120255</t>
        </is>
      </c>
      <c r="L330" s="2" t="inlineStr">
        <is>
          <t>Tran Thien An</t>
        </is>
      </c>
      <c r="M330" s="3" t="n">
        <v>46354</v>
      </c>
      <c r="N330" s="3" t="n">
        <v>46368</v>
      </c>
      <c r="O330" s="2" t="n">
        <v>3</v>
      </c>
      <c r="P330" s="2" t="inlineStr">
        <is>
          <t>ORIG-273</t>
        </is>
      </c>
      <c r="Q330" s="2" t="inlineStr">
        <is>
          <t>High</t>
        </is>
      </c>
      <c r="R330" s="2" t="inlineStr">
        <is>
          <t>Planned</t>
        </is>
      </c>
    </row>
    <row r="331">
      <c r="A331" s="2" t="inlineStr">
        <is>
          <t>Sub-task</t>
        </is>
      </c>
      <c r="B331" s="2" t="inlineStr">
        <is>
          <t>CIN-SUB-274</t>
        </is>
      </c>
      <c r="C331" s="2" t="inlineStr">
        <is>
          <t>CIN-T-046</t>
        </is>
      </c>
      <c r="D331" s="2" t="inlineStr">
        <is>
          <t>Chuẩn bị kịch bản Demo</t>
        </is>
      </c>
      <c r="E331" s="2" t="inlineStr">
        <is>
          <t>PH-04</t>
        </is>
      </c>
      <c r="F331" s="2" t="inlineStr">
        <is>
          <t>Release, Verification &amp; Handover</t>
        </is>
      </c>
      <c r="G331" s="2" t="inlineStr">
        <is>
          <t>CIN-T-046</t>
        </is>
      </c>
      <c r="H331" s="2" t="inlineStr">
        <is>
          <t>24120255</t>
        </is>
      </c>
      <c r="I331" s="2" t="inlineStr">
        <is>
          <t>Tran Thien An</t>
        </is>
      </c>
      <c r="J331" s="2" t="inlineStr">
        <is>
          <t>Sprint 5</t>
        </is>
      </c>
      <c r="K331" s="2" t="inlineStr">
        <is>
          <t>24120098</t>
        </is>
      </c>
      <c r="L331" s="2" t="inlineStr">
        <is>
          <t>Nguyen Quoc Nam</t>
        </is>
      </c>
      <c r="M331" s="3" t="n">
        <v>46354</v>
      </c>
      <c r="N331" s="3" t="n">
        <v>46368</v>
      </c>
      <c r="O331" s="2" t="n">
        <v>2</v>
      </c>
      <c r="P331" s="2" t="inlineStr">
        <is>
          <t>ORIG-274</t>
        </is>
      </c>
      <c r="Q331" s="2" t="inlineStr">
        <is>
          <t>High</t>
        </is>
      </c>
      <c r="R331" s="2" t="inlineStr">
        <is>
          <t>Planned</t>
        </is>
      </c>
    </row>
    <row r="332">
      <c r="A332" s="2" t="inlineStr">
        <is>
          <t>Sub-task</t>
        </is>
      </c>
      <c r="B332" s="2" t="inlineStr">
        <is>
          <t>CIN-SUB-275</t>
        </is>
      </c>
      <c r="C332" s="2" t="inlineStr">
        <is>
          <t>CIN-T-046</t>
        </is>
      </c>
      <c r="D332" s="2" t="inlineStr">
        <is>
          <t>Demo Customer Flow</t>
        </is>
      </c>
      <c r="E332" s="2" t="inlineStr">
        <is>
          <t>PH-04</t>
        </is>
      </c>
      <c r="F332" s="2" t="inlineStr">
        <is>
          <t>Release, Verification &amp; Handover</t>
        </is>
      </c>
      <c r="G332" s="2" t="inlineStr">
        <is>
          <t>CIN-T-046</t>
        </is>
      </c>
      <c r="H332" s="2" t="inlineStr">
        <is>
          <t>24120255</t>
        </is>
      </c>
      <c r="I332" s="2" t="inlineStr">
        <is>
          <t>Tran Thien An</t>
        </is>
      </c>
      <c r="J332" s="2" t="inlineStr">
        <is>
          <t>Sprint 5</t>
        </is>
      </c>
      <c r="K332" s="2" t="inlineStr">
        <is>
          <t>24120235</t>
        </is>
      </c>
      <c r="L332" s="2" t="inlineStr">
        <is>
          <t>Huynh Thanh Tu</t>
        </is>
      </c>
      <c r="M332" s="3" t="n">
        <v>46354</v>
      </c>
      <c r="N332" s="3" t="n">
        <v>46368</v>
      </c>
      <c r="O332" s="2" t="n">
        <v>2</v>
      </c>
      <c r="P332" s="2" t="inlineStr">
        <is>
          <t>ORIG-275</t>
        </is>
      </c>
      <c r="Q332" s="2" t="inlineStr">
        <is>
          <t>High</t>
        </is>
      </c>
      <c r="R332" s="2" t="inlineStr">
        <is>
          <t>Planned</t>
        </is>
      </c>
    </row>
    <row r="333">
      <c r="A333" s="2" t="inlineStr">
        <is>
          <t>Sub-task</t>
        </is>
      </c>
      <c r="B333" s="2" t="inlineStr">
        <is>
          <t>CIN-SUB-276</t>
        </is>
      </c>
      <c r="C333" s="2" t="inlineStr">
        <is>
          <t>CIN-T-046</t>
        </is>
      </c>
      <c r="D333" s="2" t="inlineStr">
        <is>
          <t>Demo Admin Flow</t>
        </is>
      </c>
      <c r="E333" s="2" t="inlineStr">
        <is>
          <t>PH-04</t>
        </is>
      </c>
      <c r="F333" s="2" t="inlineStr">
        <is>
          <t>Release, Verification &amp; Handover</t>
        </is>
      </c>
      <c r="G333" s="2" t="inlineStr">
        <is>
          <t>CIN-T-046</t>
        </is>
      </c>
      <c r="H333" s="2" t="inlineStr">
        <is>
          <t>24120255</t>
        </is>
      </c>
      <c r="I333" s="2" t="inlineStr">
        <is>
          <t>Tran Thien An</t>
        </is>
      </c>
      <c r="J333" s="2" t="inlineStr">
        <is>
          <t>Sprint 5</t>
        </is>
      </c>
      <c r="K333" s="2" t="inlineStr">
        <is>
          <t>24120244</t>
        </is>
      </c>
      <c r="L333" s="2" t="inlineStr">
        <is>
          <t>Phan Van Viet</t>
        </is>
      </c>
      <c r="M333" s="3" t="n">
        <v>46354</v>
      </c>
      <c r="N333" s="3" t="n">
        <v>46368</v>
      </c>
      <c r="O333" s="2" t="n">
        <v>2</v>
      </c>
      <c r="P333" s="2" t="inlineStr">
        <is>
          <t>ORIG-276</t>
        </is>
      </c>
      <c r="Q333" s="2" t="inlineStr">
        <is>
          <t>High</t>
        </is>
      </c>
      <c r="R333" s="2" t="inlineStr">
        <is>
          <t>Planned</t>
        </is>
      </c>
    </row>
    <row r="334">
      <c r="A334" s="2" t="inlineStr">
        <is>
          <t>Sub-task</t>
        </is>
      </c>
      <c r="B334" s="2" t="inlineStr">
        <is>
          <t>CIN-SUB-277</t>
        </is>
      </c>
      <c r="C334" s="2" t="inlineStr">
        <is>
          <t>CIN-T-046</t>
        </is>
      </c>
      <c r="D334" s="2" t="inlineStr">
        <is>
          <t>Demo Statistics</t>
        </is>
      </c>
      <c r="E334" s="2" t="inlineStr">
        <is>
          <t>PH-04</t>
        </is>
      </c>
      <c r="F334" s="2" t="inlineStr">
        <is>
          <t>Release, Verification &amp; Handover</t>
        </is>
      </c>
      <c r="G334" s="2" t="inlineStr">
        <is>
          <t>CIN-T-046</t>
        </is>
      </c>
      <c r="H334" s="2" t="inlineStr">
        <is>
          <t>24120255</t>
        </is>
      </c>
      <c r="I334" s="2" t="inlineStr">
        <is>
          <t>Tran Thien An</t>
        </is>
      </c>
      <c r="J334" s="2" t="inlineStr">
        <is>
          <t>Sprint 5</t>
        </is>
      </c>
      <c r="K334" s="2" t="inlineStr">
        <is>
          <t>24120271</t>
        </is>
      </c>
      <c r="L334" s="2" t="inlineStr">
        <is>
          <t>Nguyen Trung Chinh</t>
        </is>
      </c>
      <c r="M334" s="3" t="n">
        <v>46354</v>
      </c>
      <c r="N334" s="3" t="n">
        <v>46368</v>
      </c>
      <c r="O334" s="2" t="n">
        <v>2</v>
      </c>
      <c r="P334" s="2" t="inlineStr">
        <is>
          <t>ORIG-277</t>
        </is>
      </c>
      <c r="Q334" s="2" t="inlineStr">
        <is>
          <t>High</t>
        </is>
      </c>
      <c r="R334" s="2" t="inlineStr">
        <is>
          <t>Planned</t>
        </is>
      </c>
    </row>
    <row r="335">
      <c r="A335" s="2" t="inlineStr">
        <is>
          <t>Sub-task</t>
        </is>
      </c>
      <c r="B335" s="2" t="inlineStr">
        <is>
          <t>CIN-SUB-278</t>
        </is>
      </c>
      <c r="C335" s="2" t="inlineStr">
        <is>
          <t>CIN-T-046</t>
        </is>
      </c>
      <c r="D335" s="2" t="inlineStr">
        <is>
          <t>Demo Deployment</t>
        </is>
      </c>
      <c r="E335" s="2" t="inlineStr">
        <is>
          <t>PH-04</t>
        </is>
      </c>
      <c r="F335" s="2" t="inlineStr">
        <is>
          <t>Release, Verification &amp; Handover</t>
        </is>
      </c>
      <c r="G335" s="2" t="inlineStr">
        <is>
          <t>CIN-T-046</t>
        </is>
      </c>
      <c r="H335" s="2" t="inlineStr">
        <is>
          <t>24120255</t>
        </is>
      </c>
      <c r="I335" s="2" t="inlineStr">
        <is>
          <t>Tran Thien An</t>
        </is>
      </c>
      <c r="J335" s="2" t="inlineStr">
        <is>
          <t>Sprint 5</t>
        </is>
      </c>
      <c r="K335" s="2" t="inlineStr">
        <is>
          <t>24120255</t>
        </is>
      </c>
      <c r="L335" s="2" t="inlineStr">
        <is>
          <t>Tran Thien An</t>
        </is>
      </c>
      <c r="M335" s="3" t="n">
        <v>46354</v>
      </c>
      <c r="N335" s="3" t="n">
        <v>46368</v>
      </c>
      <c r="O335" s="2" t="n">
        <v>3</v>
      </c>
      <c r="P335" s="2" t="inlineStr">
        <is>
          <t>ORIG-278</t>
        </is>
      </c>
      <c r="Q335" s="2" t="inlineStr">
        <is>
          <t>High</t>
        </is>
      </c>
      <c r="R335" s="2" t="inlineStr">
        <is>
          <t>Planned</t>
        </is>
      </c>
    </row>
    <row r="336">
      <c r="A336" s="6" t="inlineStr">
        <is>
          <t>Task</t>
        </is>
      </c>
      <c r="B336" s="6" t="inlineStr">
        <is>
          <t>CIN-T-049</t>
        </is>
      </c>
      <c r="C336" s="6" t="inlineStr">
        <is>
          <t>PH-04</t>
        </is>
      </c>
      <c r="D336" s="6" t="inlineStr">
        <is>
          <t>Hoàn thiện chương kỹ thuật và triển khai trong báo cáo</t>
        </is>
      </c>
      <c r="E336" s="6" t="inlineStr">
        <is>
          <t>PH-04</t>
        </is>
      </c>
      <c r="F336" s="6" t="inlineStr">
        <is>
          <t>Release, Verification &amp; Handover</t>
        </is>
      </c>
      <c r="G336" s="6" t="inlineStr">
        <is>
          <t>CIN-T-049</t>
        </is>
      </c>
      <c r="H336" s="6" t="inlineStr">
        <is>
          <t>24120271</t>
        </is>
      </c>
      <c r="I336" s="6" t="inlineStr">
        <is>
          <t>Nguyen Trung Chinh</t>
        </is>
      </c>
      <c r="J336" s="6" t="inlineStr">
        <is>
          <t>Sprint 5</t>
        </is>
      </c>
      <c r="K336" s="6" t="inlineStr"/>
      <c r="L336" s="6" t="inlineStr"/>
      <c r="M336" s="7" t="n">
        <v>46354</v>
      </c>
      <c r="N336" s="7" t="n">
        <v>46368</v>
      </c>
      <c r="O336" s="6">
        <f>SUMIFS('Master Subtasks'!$V$2:$V$293,'Master Subtasks'!$L$2:$L$293,$B336)</f>
        <v/>
      </c>
      <c r="P336" s="6" t="inlineStr"/>
      <c r="Q336" s="6" t="inlineStr">
        <is>
          <t>Medium</t>
        </is>
      </c>
      <c r="R336" s="6" t="inlineStr">
        <is>
          <t>Planned</t>
        </is>
      </c>
    </row>
    <row r="337">
      <c r="A337" s="2" t="inlineStr">
        <is>
          <t>Sub-task</t>
        </is>
      </c>
      <c r="B337" s="2" t="inlineStr">
        <is>
          <t>CIN-SUB-283</t>
        </is>
      </c>
      <c r="C337" s="2" t="inlineStr">
        <is>
          <t>CIN-T-049</t>
        </is>
      </c>
      <c r="D337" s="2" t="inlineStr">
        <is>
          <t>Backend</t>
        </is>
      </c>
      <c r="E337" s="2" t="inlineStr">
        <is>
          <t>PH-04</t>
        </is>
      </c>
      <c r="F337" s="2" t="inlineStr">
        <is>
          <t>Release, Verification &amp; Handover</t>
        </is>
      </c>
      <c r="G337" s="2" t="inlineStr">
        <is>
          <t>CIN-T-049</t>
        </is>
      </c>
      <c r="H337" s="2" t="inlineStr">
        <is>
          <t>24120271</t>
        </is>
      </c>
      <c r="I337" s="2" t="inlineStr">
        <is>
          <t>Nguyen Trung Chinh</t>
        </is>
      </c>
      <c r="J337" s="2" t="inlineStr">
        <is>
          <t>Sprint 5</t>
        </is>
      </c>
      <c r="K337" s="2" t="inlineStr">
        <is>
          <t>24120098</t>
        </is>
      </c>
      <c r="L337" s="2" t="inlineStr">
        <is>
          <t>Nguyen Quoc Nam</t>
        </is>
      </c>
      <c r="M337" s="3" t="n">
        <v>46354</v>
      </c>
      <c r="N337" s="3" t="n">
        <v>46368</v>
      </c>
      <c r="O337" s="2" t="n">
        <v>3</v>
      </c>
      <c r="P337" s="2" t="inlineStr">
        <is>
          <t>ORIG-283</t>
        </is>
      </c>
      <c r="Q337" s="2" t="inlineStr">
        <is>
          <t>Medium</t>
        </is>
      </c>
      <c r="R337" s="2" t="inlineStr">
        <is>
          <t>Planned</t>
        </is>
      </c>
    </row>
    <row r="338">
      <c r="A338" s="2" t="inlineStr">
        <is>
          <t>Sub-task</t>
        </is>
      </c>
      <c r="B338" s="2" t="inlineStr">
        <is>
          <t>CIN-SUB-284</t>
        </is>
      </c>
      <c r="C338" s="2" t="inlineStr">
        <is>
          <t>CIN-T-049</t>
        </is>
      </c>
      <c r="D338" s="2" t="inlineStr">
        <is>
          <t>Frontend</t>
        </is>
      </c>
      <c r="E338" s="2" t="inlineStr">
        <is>
          <t>PH-04</t>
        </is>
      </c>
      <c r="F338" s="2" t="inlineStr">
        <is>
          <t>Release, Verification &amp; Handover</t>
        </is>
      </c>
      <c r="G338" s="2" t="inlineStr">
        <is>
          <t>CIN-T-049</t>
        </is>
      </c>
      <c r="H338" s="2" t="inlineStr">
        <is>
          <t>24120271</t>
        </is>
      </c>
      <c r="I338" s="2" t="inlineStr">
        <is>
          <t>Nguyen Trung Chinh</t>
        </is>
      </c>
      <c r="J338" s="2" t="inlineStr">
        <is>
          <t>Sprint 5</t>
        </is>
      </c>
      <c r="K338" s="2" t="inlineStr">
        <is>
          <t>24120271</t>
        </is>
      </c>
      <c r="L338" s="2" t="inlineStr">
        <is>
          <t>Nguyen Trung Chinh</t>
        </is>
      </c>
      <c r="M338" s="3" t="n">
        <v>46354</v>
      </c>
      <c r="N338" s="3" t="n">
        <v>46368</v>
      </c>
      <c r="O338" s="2" t="n">
        <v>2</v>
      </c>
      <c r="P338" s="2" t="inlineStr">
        <is>
          <t>ORIG-284</t>
        </is>
      </c>
      <c r="Q338" s="2" t="inlineStr">
        <is>
          <t>Medium</t>
        </is>
      </c>
      <c r="R338" s="2" t="inlineStr">
        <is>
          <t>Planned</t>
        </is>
      </c>
    </row>
    <row r="339">
      <c r="A339" s="2" t="inlineStr">
        <is>
          <t>Sub-task</t>
        </is>
      </c>
      <c r="B339" s="2" t="inlineStr">
        <is>
          <t>CIN-SUB-285</t>
        </is>
      </c>
      <c r="C339" s="2" t="inlineStr">
        <is>
          <t>CIN-T-049</t>
        </is>
      </c>
      <c r="D339" s="2" t="inlineStr">
        <is>
          <t>Authentication / Security</t>
        </is>
      </c>
      <c r="E339" s="2" t="inlineStr">
        <is>
          <t>PH-04</t>
        </is>
      </c>
      <c r="F339" s="2" t="inlineStr">
        <is>
          <t>Release, Verification &amp; Handover</t>
        </is>
      </c>
      <c r="G339" s="2" t="inlineStr">
        <is>
          <t>CIN-T-049</t>
        </is>
      </c>
      <c r="H339" s="2" t="inlineStr">
        <is>
          <t>24120271</t>
        </is>
      </c>
      <c r="I339" s="2" t="inlineStr">
        <is>
          <t>Nguyen Trung Chinh</t>
        </is>
      </c>
      <c r="J339" s="2" t="inlineStr">
        <is>
          <t>Sprint 5</t>
        </is>
      </c>
      <c r="K339" s="2" t="inlineStr">
        <is>
          <t>24120244</t>
        </is>
      </c>
      <c r="L339" s="2" t="inlineStr">
        <is>
          <t>Phan Van Viet</t>
        </is>
      </c>
      <c r="M339" s="3" t="n">
        <v>46354</v>
      </c>
      <c r="N339" s="3" t="n">
        <v>46368</v>
      </c>
      <c r="O339" s="2" t="n">
        <v>3</v>
      </c>
      <c r="P339" s="2" t="inlineStr">
        <is>
          <t>ORIG-285</t>
        </is>
      </c>
      <c r="Q339" s="2" t="inlineStr">
        <is>
          <t>Medium</t>
        </is>
      </c>
      <c r="R339" s="2" t="inlineStr">
        <is>
          <t>Planned</t>
        </is>
      </c>
    </row>
    <row r="340">
      <c r="A340" s="2" t="inlineStr">
        <is>
          <t>Sub-task</t>
        </is>
      </c>
      <c r="B340" s="2" t="inlineStr">
        <is>
          <t>CIN-SUB-286</t>
        </is>
      </c>
      <c r="C340" s="2" t="inlineStr">
        <is>
          <t>CIN-T-049</t>
        </is>
      </c>
      <c r="D340" s="2" t="inlineStr">
        <is>
          <t>Testing</t>
        </is>
      </c>
      <c r="E340" s="2" t="inlineStr">
        <is>
          <t>PH-04</t>
        </is>
      </c>
      <c r="F340" s="2" t="inlineStr">
        <is>
          <t>Release, Verification &amp; Handover</t>
        </is>
      </c>
      <c r="G340" s="2" t="inlineStr">
        <is>
          <t>CIN-T-049</t>
        </is>
      </c>
      <c r="H340" s="2" t="inlineStr">
        <is>
          <t>24120271</t>
        </is>
      </c>
      <c r="I340" s="2" t="inlineStr">
        <is>
          <t>Nguyen Trung Chinh</t>
        </is>
      </c>
      <c r="J340" s="2" t="inlineStr">
        <is>
          <t>Sprint 5</t>
        </is>
      </c>
      <c r="K340" s="2" t="inlineStr">
        <is>
          <t>24120235</t>
        </is>
      </c>
      <c r="L340" s="2" t="inlineStr">
        <is>
          <t>Huynh Thanh Tu</t>
        </is>
      </c>
      <c r="M340" s="3" t="n">
        <v>46354</v>
      </c>
      <c r="N340" s="3" t="n">
        <v>46368</v>
      </c>
      <c r="O340" s="2" t="n">
        <v>3</v>
      </c>
      <c r="P340" s="2" t="inlineStr">
        <is>
          <t>ORIG-286</t>
        </is>
      </c>
      <c r="Q340" s="2" t="inlineStr">
        <is>
          <t>Medium</t>
        </is>
      </c>
      <c r="R340" s="2" t="inlineStr">
        <is>
          <t>Planned</t>
        </is>
      </c>
    </row>
    <row r="341">
      <c r="A341" s="2" t="inlineStr">
        <is>
          <t>Sub-task</t>
        </is>
      </c>
      <c r="B341" s="2" t="inlineStr">
        <is>
          <t>CIN-SUB-287</t>
        </is>
      </c>
      <c r="C341" s="2" t="inlineStr">
        <is>
          <t>CIN-T-049</t>
        </is>
      </c>
      <c r="D341" s="2" t="inlineStr">
        <is>
          <t>Deployment</t>
        </is>
      </c>
      <c r="E341" s="2" t="inlineStr">
        <is>
          <t>PH-04</t>
        </is>
      </c>
      <c r="F341" s="2" t="inlineStr">
        <is>
          <t>Release, Verification &amp; Handover</t>
        </is>
      </c>
      <c r="G341" s="2" t="inlineStr">
        <is>
          <t>CIN-T-049</t>
        </is>
      </c>
      <c r="H341" s="2" t="inlineStr">
        <is>
          <t>24120271</t>
        </is>
      </c>
      <c r="I341" s="2" t="inlineStr">
        <is>
          <t>Nguyen Trung Chinh</t>
        </is>
      </c>
      <c r="J341" s="2" t="inlineStr">
        <is>
          <t>Sprint 5</t>
        </is>
      </c>
      <c r="K341" s="2" t="inlineStr">
        <is>
          <t>24120271</t>
        </is>
      </c>
      <c r="L341" s="2" t="inlineStr">
        <is>
          <t>Nguyen Trung Chinh</t>
        </is>
      </c>
      <c r="M341" s="3" t="n">
        <v>46354</v>
      </c>
      <c r="N341" s="3" t="n">
        <v>46368</v>
      </c>
      <c r="O341" s="2" t="n">
        <v>3</v>
      </c>
      <c r="P341" s="2" t="inlineStr">
        <is>
          <t>ORIG-287</t>
        </is>
      </c>
      <c r="Q341" s="2" t="inlineStr">
        <is>
          <t>Medium</t>
        </is>
      </c>
      <c r="R341" s="2" t="inlineStr">
        <is>
          <t>Planned</t>
        </is>
      </c>
    </row>
    <row r="342">
      <c r="A342" s="2" t="inlineStr">
        <is>
          <t>Sub-task</t>
        </is>
      </c>
      <c r="B342" s="2" t="inlineStr">
        <is>
          <t>CIN-SUB-288</t>
        </is>
      </c>
      <c r="C342" s="2" t="inlineStr">
        <is>
          <t>CIN-T-049</t>
        </is>
      </c>
      <c r="D342" s="2" t="inlineStr">
        <is>
          <t>AI Integration</t>
        </is>
      </c>
      <c r="E342" s="2" t="inlineStr">
        <is>
          <t>PH-04</t>
        </is>
      </c>
      <c r="F342" s="2" t="inlineStr">
        <is>
          <t>Release, Verification &amp; Handover</t>
        </is>
      </c>
      <c r="G342" s="2" t="inlineStr">
        <is>
          <t>CIN-T-049</t>
        </is>
      </c>
      <c r="H342" s="2" t="inlineStr">
        <is>
          <t>24120271</t>
        </is>
      </c>
      <c r="I342" s="2" t="inlineStr">
        <is>
          <t>Nguyen Trung Chinh</t>
        </is>
      </c>
      <c r="J342" s="2" t="inlineStr">
        <is>
          <t>Sprint 5</t>
        </is>
      </c>
      <c r="K342" s="2" t="inlineStr">
        <is>
          <t>24120255</t>
        </is>
      </c>
      <c r="L342" s="2" t="inlineStr">
        <is>
          <t>Tran Thien An</t>
        </is>
      </c>
      <c r="M342" s="3" t="n">
        <v>46354</v>
      </c>
      <c r="N342" s="3" t="n">
        <v>46368</v>
      </c>
      <c r="O342" s="2" t="n">
        <v>2</v>
      </c>
      <c r="P342" s="2" t="inlineStr">
        <is>
          <t>ORIG-288</t>
        </is>
      </c>
      <c r="Q342" s="2" t="inlineStr">
        <is>
          <t>Medium</t>
        </is>
      </c>
      <c r="R342" s="2" t="inlineStr">
        <is>
          <t>Planned</t>
        </is>
      </c>
    </row>
    <row r="343">
      <c r="A343" s="6" t="inlineStr">
        <is>
          <t>Task</t>
        </is>
      </c>
      <c r="B343" s="6" t="inlineStr">
        <is>
          <t>CIN-T-050</t>
        </is>
      </c>
      <c r="C343" s="6" t="inlineStr">
        <is>
          <t>PH-04</t>
        </is>
      </c>
      <c r="D343" s="6" t="inlineStr">
        <is>
          <t>Hoàn thiện đánh giá, slide và phân công thuyết trình</t>
        </is>
      </c>
      <c r="E343" s="6" t="inlineStr">
        <is>
          <t>PH-04</t>
        </is>
      </c>
      <c r="F343" s="6" t="inlineStr">
        <is>
          <t>Release, Verification &amp; Handover</t>
        </is>
      </c>
      <c r="G343" s="6" t="inlineStr">
        <is>
          <t>CIN-T-050</t>
        </is>
      </c>
      <c r="H343" s="6" t="inlineStr">
        <is>
          <t>24120244</t>
        </is>
      </c>
      <c r="I343" s="6" t="inlineStr">
        <is>
          <t>Phan Van Viet</t>
        </is>
      </c>
      <c r="J343" s="6" t="inlineStr">
        <is>
          <t>Sprint 5</t>
        </is>
      </c>
      <c r="K343" s="6" t="inlineStr"/>
      <c r="L343" s="6" t="inlineStr"/>
      <c r="M343" s="7" t="n">
        <v>46354</v>
      </c>
      <c r="N343" s="7" t="n">
        <v>46368</v>
      </c>
      <c r="O343" s="6">
        <f>SUMIFS('Master Subtasks'!$V$2:$V$293,'Master Subtasks'!$L$2:$L$293,$B343)</f>
        <v/>
      </c>
      <c r="P343" s="6" t="inlineStr"/>
      <c r="Q343" s="6" t="inlineStr">
        <is>
          <t>High</t>
        </is>
      </c>
      <c r="R343" s="6" t="inlineStr">
        <is>
          <t>Planned</t>
        </is>
      </c>
    </row>
    <row r="344">
      <c r="A344" s="2" t="inlineStr">
        <is>
          <t>Sub-task</t>
        </is>
      </c>
      <c r="B344" s="2" t="inlineStr">
        <is>
          <t>CIN-SUB-289</t>
        </is>
      </c>
      <c r="C344" s="2" t="inlineStr">
        <is>
          <t>CIN-T-050</t>
        </is>
      </c>
      <c r="D344" s="2" t="inlineStr">
        <is>
          <t>Đánh giá hệ thống</t>
        </is>
      </c>
      <c r="E344" s="2" t="inlineStr">
        <is>
          <t>PH-04</t>
        </is>
      </c>
      <c r="F344" s="2" t="inlineStr">
        <is>
          <t>Release, Verification &amp; Handover</t>
        </is>
      </c>
      <c r="G344" s="2" t="inlineStr">
        <is>
          <t>CIN-T-050</t>
        </is>
      </c>
      <c r="H344" s="2" t="inlineStr">
        <is>
          <t>24120244</t>
        </is>
      </c>
      <c r="I344" s="2" t="inlineStr">
        <is>
          <t>Phan Van Viet</t>
        </is>
      </c>
      <c r="J344" s="2" t="inlineStr">
        <is>
          <t>Sprint 5</t>
        </is>
      </c>
      <c r="K344" s="2" t="inlineStr">
        <is>
          <t>24120098</t>
        </is>
      </c>
      <c r="L344" s="2" t="inlineStr">
        <is>
          <t>Nguyen Quoc Nam</t>
        </is>
      </c>
      <c r="M344" s="3" t="n">
        <v>46354</v>
      </c>
      <c r="N344" s="3" t="n">
        <v>46368</v>
      </c>
      <c r="O344" s="2" t="n">
        <v>2</v>
      </c>
      <c r="P344" s="2" t="inlineStr">
        <is>
          <t>ORIG-289</t>
        </is>
      </c>
      <c r="Q344" s="2" t="inlineStr">
        <is>
          <t>High</t>
        </is>
      </c>
      <c r="R344" s="2" t="inlineStr">
        <is>
          <t>Planned</t>
        </is>
      </c>
    </row>
    <row r="345">
      <c r="A345" s="2" t="inlineStr">
        <is>
          <t>Sub-task</t>
        </is>
      </c>
      <c r="B345" s="2" t="inlineStr">
        <is>
          <t>CIN-SUB-290</t>
        </is>
      </c>
      <c r="C345" s="2" t="inlineStr">
        <is>
          <t>CIN-T-050</t>
        </is>
      </c>
      <c r="D345" s="2" t="inlineStr">
        <is>
          <t>Hình ảnh minh họa</t>
        </is>
      </c>
      <c r="E345" s="2" t="inlineStr">
        <is>
          <t>PH-04</t>
        </is>
      </c>
      <c r="F345" s="2" t="inlineStr">
        <is>
          <t>Release, Verification &amp; Handover</t>
        </is>
      </c>
      <c r="G345" s="2" t="inlineStr">
        <is>
          <t>CIN-T-050</t>
        </is>
      </c>
      <c r="H345" s="2" t="inlineStr">
        <is>
          <t>24120244</t>
        </is>
      </c>
      <c r="I345" s="2" t="inlineStr">
        <is>
          <t>Phan Van Viet</t>
        </is>
      </c>
      <c r="J345" s="2" t="inlineStr">
        <is>
          <t>Sprint 5</t>
        </is>
      </c>
      <c r="K345" s="2" t="inlineStr">
        <is>
          <t>24120244</t>
        </is>
      </c>
      <c r="L345" s="2" t="inlineStr">
        <is>
          <t>Phan Van Viet</t>
        </is>
      </c>
      <c r="M345" s="3" t="n">
        <v>46354</v>
      </c>
      <c r="N345" s="3" t="n">
        <v>46368</v>
      </c>
      <c r="O345" s="2" t="n">
        <v>3</v>
      </c>
      <c r="P345" s="2" t="inlineStr">
        <is>
          <t>ORIG-290</t>
        </is>
      </c>
      <c r="Q345" s="2" t="inlineStr">
        <is>
          <t>High</t>
        </is>
      </c>
      <c r="R345" s="2" t="inlineStr">
        <is>
          <t>Planned</t>
        </is>
      </c>
    </row>
    <row r="346">
      <c r="A346" s="2" t="inlineStr">
        <is>
          <t>Sub-task</t>
        </is>
      </c>
      <c r="B346" s="2" t="inlineStr">
        <is>
          <t>CIN-SUB-291</t>
        </is>
      </c>
      <c r="C346" s="2" t="inlineStr">
        <is>
          <t>CIN-T-050</t>
        </is>
      </c>
      <c r="D346" s="2" t="inlineStr">
        <is>
          <t>Chuẩn bị Slide</t>
        </is>
      </c>
      <c r="E346" s="2" t="inlineStr">
        <is>
          <t>PH-04</t>
        </is>
      </c>
      <c r="F346" s="2" t="inlineStr">
        <is>
          <t>Release, Verification &amp; Handover</t>
        </is>
      </c>
      <c r="G346" s="2" t="inlineStr">
        <is>
          <t>CIN-T-050</t>
        </is>
      </c>
      <c r="H346" s="2" t="inlineStr">
        <is>
          <t>24120244</t>
        </is>
      </c>
      <c r="I346" s="2" t="inlineStr">
        <is>
          <t>Phan Van Viet</t>
        </is>
      </c>
      <c r="J346" s="2" t="inlineStr">
        <is>
          <t>Sprint 5</t>
        </is>
      </c>
      <c r="K346" s="2" t="inlineStr">
        <is>
          <t>24120235</t>
        </is>
      </c>
      <c r="L346" s="2" t="inlineStr">
        <is>
          <t>Huynh Thanh Tu</t>
        </is>
      </c>
      <c r="M346" s="3" t="n">
        <v>46354</v>
      </c>
      <c r="N346" s="3" t="n">
        <v>46368</v>
      </c>
      <c r="O346" s="2" t="n">
        <v>1</v>
      </c>
      <c r="P346" s="2" t="inlineStr">
        <is>
          <t>ORIG-291</t>
        </is>
      </c>
      <c r="Q346" s="2" t="inlineStr">
        <is>
          <t>High</t>
        </is>
      </c>
      <c r="R346" s="2" t="inlineStr">
        <is>
          <t>Planned</t>
        </is>
      </c>
    </row>
    <row r="347">
      <c r="A347" s="2" t="inlineStr">
        <is>
          <t>Sub-task</t>
        </is>
      </c>
      <c r="B347" s="2" t="inlineStr">
        <is>
          <t>CIN-SUB-292</t>
        </is>
      </c>
      <c r="C347" s="2" t="inlineStr">
        <is>
          <t>CIN-T-050</t>
        </is>
      </c>
      <c r="D347" s="2" t="inlineStr">
        <is>
          <t>Chuẩn bị phân công thuyết trình</t>
        </is>
      </c>
      <c r="E347" s="2" t="inlineStr">
        <is>
          <t>PH-04</t>
        </is>
      </c>
      <c r="F347" s="2" t="inlineStr">
        <is>
          <t>Release, Verification &amp; Handover</t>
        </is>
      </c>
      <c r="G347" s="2" t="inlineStr">
        <is>
          <t>CIN-T-050</t>
        </is>
      </c>
      <c r="H347" s="2" t="inlineStr">
        <is>
          <t>24120244</t>
        </is>
      </c>
      <c r="I347" s="2" t="inlineStr">
        <is>
          <t>Phan Van Viet</t>
        </is>
      </c>
      <c r="J347" s="2" t="inlineStr">
        <is>
          <t>Sprint 5</t>
        </is>
      </c>
      <c r="K347" s="2" t="inlineStr">
        <is>
          <t>24120235</t>
        </is>
      </c>
      <c r="L347" s="2" t="inlineStr">
        <is>
          <t>Huynh Thanh Tu</t>
        </is>
      </c>
      <c r="M347" s="3" t="n">
        <v>46354</v>
      </c>
      <c r="N347" s="3" t="n">
        <v>46368</v>
      </c>
      <c r="O347" s="2" t="n">
        <v>1</v>
      </c>
      <c r="P347" s="2" t="inlineStr">
        <is>
          <t>ORIG-292</t>
        </is>
      </c>
      <c r="Q347" s="2" t="inlineStr">
        <is>
          <t>High</t>
        </is>
      </c>
      <c r="R347" s="2" t="inlineStr">
        <is>
          <t>Planned</t>
        </is>
      </c>
    </row>
  </sheetData>
  <autoFilter ref="A1:R34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68" customWidth="1" min="4" max="4"/>
    <col width="88" customWidth="1" min="5" max="5"/>
    <col width="100" customWidth="1" min="6" max="6"/>
    <col width="90" customWidth="1" min="7" max="7"/>
    <col width="75" customWidth="1" min="8" max="8"/>
    <col width="18" customWidth="1" min="9" max="9"/>
    <col width="80" customWidth="1" min="10" max="10"/>
    <col width="78" customWidth="1" min="11" max="11"/>
  </cols>
  <sheetData>
    <row r="1" ht="34" customHeight="1">
      <c r="A1" s="1" t="inlineStr">
        <is>
          <t>Sprint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Sprint Goal</t>
        </is>
      </c>
      <c r="E1" s="1" t="inlineStr">
        <is>
          <t>Task IDs / Names</t>
        </is>
      </c>
      <c r="F1" s="1" t="inlineStr">
        <is>
          <t>Key Deliverables</t>
        </is>
      </c>
      <c r="G1" s="1" t="inlineStr">
        <is>
          <t>Critical Dependencies</t>
        </is>
      </c>
      <c r="H1" s="1" t="inlineStr">
        <is>
          <t>PA Milestone</t>
        </is>
      </c>
      <c r="I1" s="1" t="inlineStr">
        <is>
          <t>Total Effort (SP)</t>
        </is>
      </c>
      <c r="J1" s="1" t="inlineStr">
        <is>
          <t>Risk / Conditions</t>
        </is>
      </c>
      <c r="K1" s="1" t="inlineStr">
        <is>
          <t>Acceptance Gate</t>
        </is>
      </c>
    </row>
    <row r="2">
      <c r="A2" s="2" t="inlineStr">
        <is>
          <t>Sprint 1</t>
        </is>
      </c>
      <c r="B2" s="3" t="n">
        <v>46298</v>
      </c>
      <c r="C2" s="3" t="n">
        <v>46311</v>
      </c>
      <c r="D2" s="2" t="inlineStr">
        <is>
          <t>Chốt scope/actor/luồng, quy tắc nhóm và tài liệu PA1; chưa cam kết phát triển nhiều chức năng.</t>
        </is>
      </c>
      <c r="E2" s="2" t="inlineStr">
        <is>
          <t>CIN-T-001 Chốt phạm vi hệ thống và tác nhân; CIN-T-002 Đặc tả luồng nghiệp vụ khách hàng và quản trị; CIN-T-003 Baseline yêu cầu, use case và kiến trúc sơ bộ; CIN-T-012 Thiết lập quy tắc cộng tác và cấu trúc repository; CIN-T-047 Soạn tổng quan và phân tích nghiệp vụ cho PA1</t>
        </is>
      </c>
      <c r="F2" s="2" t="inlineStr">
        <is>
          <t>Chốt phạm vi hệ thống và tác nhân: Xác định loại hệ thống, Xác định phạm vi hệ thống, Xác định Actor; Đặc tả luồng nghiệp vụ khách hàng và quản trị: Xác định đối tượng dữ liệu, Phân tích luồng khách hàng, Phân tích luồng quản trị; Baseline yêu cầu, use case và kiến trúc sơ bộ: Xác định chức năng hệ thống, Xác định yêu cầu phi chức năng, Xây dựng Use Case; Thiết lập quy tắc cộng tác và cấu trúc repository: Git Branching, Commit Convention, Pull Request; Soạn tổng quan và phân tích nghiệp vụ cho PA1: Tổng quan hệ thống, Phân tích nghiệp vụ</t>
        </is>
      </c>
      <c r="G2" s="2" t="inlineStr">
        <is>
          <t>CIN-T-001 → CIN-T-002; CIN-T-002 → CIN-T-003; CIN-T-003 → CIN-T-047</t>
        </is>
      </c>
      <c r="H2" s="2" t="inlineStr">
        <is>
          <t>PA1: 16/10/2026 vs 17/10/2026 — confirm official date.</t>
        </is>
      </c>
      <c r="I2" s="2">
        <f>SUMIFS('Master Subtasks'!$V$2:$V$293,'Master Subtasks'!$Q$2:$Q$293,A2)</f>
        <v/>
      </c>
      <c r="J2" s="2" t="inlineStr">
        <is>
          <t>Xung đột PA1: 16/10 trong lịch tổng thể và 17/10 trong tài liệu khác; cần xác nhận.</t>
        </is>
      </c>
      <c r="K2" s="2" t="inlineStr">
        <is>
          <t>Evidence reviewed; blockers/deferred scope explicitly accepted; milestone date/scope confirmed.</t>
        </is>
      </c>
    </row>
    <row r="3">
      <c r="A3" s="2" t="inlineStr">
        <is>
          <t>Sprint 2</t>
        </is>
      </c>
      <c r="B3" s="3" t="n">
        <v>46312</v>
      </c>
      <c r="C3" s="3" t="n">
        <v>46325</v>
      </c>
      <c r="D3" s="2" t="inlineStr">
        <is>
          <t>Hoàn tất baseline database/API/UI design và môi trường local có thể tái lập.</t>
        </is>
      </c>
      <c r="E3" s="2" t="inlineStr">
        <is>
          <t>CIN-T-004 Thiết kế dữ liệu phim, phòng, ghế và suất chiếu; CIN-T-005 Thiết kế dữ liệu booking, ticket, payment và user; CIN-T-006 Xác định quan hệ, ràng buộc và tính toàn vẹn dữ liệu; CIN-T-007 Hoàn tất ERD và relational schema; CIN-T-008 Thiết kế luồng, màn hình và điều hướng Customer; CIN-T-009 Đặc tả các màn hình Customer; CIN-T-010 Xác định component, UI state, dữ liệu và responsive behavior; CIN-T-011 Chốt API contract và chính sách truy cập; CIN-T-037 Chuẩn hóa môi trường phát triển local; CIN-T-042 Tạo README và tài liệu kiến trúc/database ban đầu; CIN-T-048 Soạn phần thiết kế hệ thống và database</t>
        </is>
      </c>
      <c r="F3" s="2" t="inlineStr">
        <is>
          <t>Thiết kế dữ liệu phim, phòng, ghế và suất chiếu: Thiết kế bảng, Thiết kế bảng Movie, Thiết kế bảng Genre; Thiết kế dữ liệu booking, ticket, payment và user: Thiết kế bảng Booking, Thiết kế bảng BookingDetail, Thiết kế bảng Ticket; Xác định quan hệ, ràng buộc và tính toàn vẹn dữ liệu: Thiết kế quan hệ, Xác định PK/FK, Xác định kiểu dữ liệu; Hoàn tất ERD và relational schema: Vẽ ERD, Hoàn thiện Relational Schema; Thiết kế luồng, màn hình và điều hướng Customer: Xác định Customer User Flow, Xác định danh sách màn hình Customer, Web Layout; Đặc tả các màn hình Customer: Trang Home, Trang Movie List, Trang Movie Detail; Xác định component, UI state, dữ liệu và responsive behavior: Xác định Component dùng chung, Xác định UI State, Xác định dữ liệu cần hiển thị; Chốt API contract và chính sách truy cập: Xác định API Contract, Thiết kế API Endpoint, Thiết kế Request / Response; Chuẩn hóa môi trường phát triển local: Docker PostgreSQL, Docker Backend, Docker Frontend; Tạo README và tài liệu kiến trúc/database ban đầu: README, Architecture Documentation, Database Documentation; Soạn phần thiết kế hệ thống và database: Thiết kế hệ thống, Thiết kế Database</t>
        </is>
      </c>
      <c r="G3" s="2" t="inlineStr">
        <is>
          <t>CIN-T-003 → CIN-T-004; CIN-T-004 → CIN-T-005; CIN-T-005 → CIN-T-006; CIN-T-006 → CIN-T-007; CIN-T-003 → CIN-T-008; CIN-T-008 → CIN-T-009; CIN-T-009 → CIN-T-010; CIN-T-007 → CIN-T-011; CIN-T-003 → CIN-T-011; CIN-T-012 → CIN-T-037; CIN-T-003 → CIN-T-037; CIN-T-007 → CIN-T-042; CIN-T-003 → CIN-T-042; CIN-T-007 → CIN-T-048; CIN-T-003 → CIN-T-048</t>
        </is>
      </c>
      <c r="H3" s="2" t="inlineStr">
        <is>
          <t>PA2: 30/10/2026 appears in source schedule only — confirm.</t>
        </is>
      </c>
      <c r="I3" s="2">
        <f>SUMIFS('Master Subtasks'!$V$2:$V$293,'Master Subtasks'!$Q$2:$Q$293,A3)</f>
        <v/>
      </c>
      <c r="J3" s="2" t="inlineStr">
        <is>
          <t>Thiết kế và môi trường có nhiều phụ thuộc; PA2/date/rubric chưa được xác nhận.</t>
        </is>
      </c>
      <c r="K3" s="2" t="inlineStr">
        <is>
          <t>Evidence reviewed; blockers/deferred scope explicitly accepted; milestone date/scope confirmed.</t>
        </is>
      </c>
    </row>
    <row r="4">
      <c r="A4" s="2" t="inlineStr">
        <is>
          <t>Sprint 3</t>
        </is>
      </c>
      <c r="B4" s="3" t="n">
        <v>46326</v>
      </c>
      <c r="C4" s="3" t="n">
        <v>46339</v>
      </c>
      <c r="D4" s="2" t="inlineStr">
        <is>
          <t>Khóa thiết kế chi tiết trước PA3; làm nền tảng backend/catalog/auth có giới hạn.</t>
        </is>
      </c>
      <c r="E4" s="2" t="inlineStr">
        <is>
          <t>CIN-T-013 Xây persistence và khởi tạo database bằng EF Core; CIN-T-014 Định nghĩa REST API và DTO foundation; CIN-T-015 Triển khai API phim, rạp, ghế, vé và lịch chiếu; CIN-T-018 Chuẩn hóa API response và tài liệu OpenAPI; CIN-T-019 Triển khai đăng ký, đăng nhập và phân quyền; CIN-T-020 Xây nghiệp vụ quản lý phim, phòng, ghế và loại vé; CIN-T-021 Xây nghiệp vụ suất chiếu và kiểm tra lịch; CIN-T-025 Xây giao diện xem phim và chọn suất chiếu; CIN-T-033 Áp dụng bảo vệ tài khoản, API, input và secrets; CIN-T-043 Hoàn thiện API và environment documentation</t>
        </is>
      </c>
      <c r="F4" s="2" t="inlineStr">
        <is>
          <t>Xây persistence và khởi tạo database bằng EF Core: Xây dựng Entity Models, Xây dựng AppDbContext, Cấu hình Relationships; Định nghĩa REST API và DTO foundation: Thiết kế REST API, Thiết kế DTO; Triển khai API phim, rạp, ghế, vé và lịch chiếu: API Movie / Genre, API Cinema Room, API Seat / Seat Type; Chuẩn hóa API response và tài liệu OpenAPI: Swagger / OpenAPI, API Response Convention; Triển khai đăng ký, đăng nhập và phân quyền: Register, Login, Password Hashing; Xây nghiệp vụ quản lý phim, phòng, ghế và loại vé: Quản lý Movie, Quản lý Genre, Quản lý Cinema Room; Xây nghiệp vụ suất chiếu và kiểm tra lịch: Tạo Showtime, Kiểm tra thời gian phim, Kiểm tra trùng lịch; Xây giao diện xem phim và chọn suất chiếu: Web Layout, Trang Home, Trang Movie List; Áp dụng bảo vệ tài khoản, API, input và secrets: Password Security, API Security, CORS; Hoàn thiện API và environment documentation: API Documentation, Environment Documentation</t>
        </is>
      </c>
      <c r="G4" s="2" t="inlineStr">
        <is>
          <t>CIN-T-007 → CIN-T-013; CIN-T-037 → CIN-T-013; CIN-T-011 → CIN-T-014; CIN-T-007 → CIN-T-014; CIN-T-013 → CIN-T-015; CIN-T-014 → CIN-T-015; CIN-T-014 → CIN-T-018; CIN-T-013 → CIN-T-019; CIN-T-014 → CIN-T-019; CIN-T-003 → CIN-T-019; CIN-T-015 → CIN-T-020; CIN-T-019 → CIN-T-020; CIN-T-020 → CIN-T-021; CIN-T-009 → CIN-T-025; CIN-T-015 → CIN-T-025; CIN-T-019 → CIN-T-033; CIN-T-014 → CIN-T-033; CIN-T-012 → CIN-T-033; CIN-T-014 → CIN-T-043; CIN-T-037 → CIN-T-043</t>
        </is>
      </c>
      <c r="H4" s="2" t="inlineStr">
        <is>
          <t>PA3 – Detailed Design Baseline: 13/11/2026.</t>
        </is>
      </c>
      <c r="I4" s="2">
        <f>SUMIFS('Master Subtasks'!$V$2:$V$293,'Master Subtasks'!$Q$2:$Q$293,A4)</f>
        <v/>
      </c>
      <c r="J4" s="2" t="inlineStr">
        <is>
          <t>PA3 là design baseline 13/11; xác nhận code nền có được làm trước PA3 không.</t>
        </is>
      </c>
      <c r="K4" s="2" t="inlineStr">
        <is>
          <t>Evidence reviewed; blockers/deferred scope explicitly accepted; milestone date/scope confirmed.</t>
        </is>
      </c>
    </row>
    <row r="5">
      <c r="A5" s="2" t="inlineStr">
        <is>
          <t>Sprint 4</t>
        </is>
      </c>
      <c r="B5" s="3" t="n">
        <v>46340</v>
      </c>
      <c r="C5" s="3" t="n">
        <v>46353</v>
      </c>
      <c r="D5" s="2" t="inlineStr">
        <is>
          <t>Hoàn thành luồng mua vé cốt lõi, tích hợp FE–BE và kiểm thử cho demo tích hợp.</t>
        </is>
      </c>
      <c r="E5" s="2" t="inlineStr">
        <is>
          <t>CIN-T-016 Triển khai API booking, ticket và payment; CIN-T-022 Triển khai chọn ghế, giữ chỗ và tạo booking an toàn; CIN-T-023 Triển khai thanh toán mô phỏng và trạng thái giao dịch; CIN-T-024 Phát hành, tạo mã/QR và xác thực vé; CIN-T-026 Xây giao diện ghế, thanh toán và tài khoản; CIN-T-027 Tích hợp frontend với API thật; CIN-T-032 Chuẩn hóa validation và xử lý lỗi backend/frontend; CIN-T-035 Kiểm thử unit, integration và luồng đặt vé cốt lõi</t>
        </is>
      </c>
      <c r="F5" s="2" t="inlineStr">
        <is>
          <t>Triển khai API booking, ticket và payment: API Booking, API Booking Detail, API Ticket; Triển khai chọn ghế, giữ chỗ và tạo booking an toàn: Chọn ghế, Seat Availability, Giữ ghế; Triển khai thanh toán mô phỏng và trạng thái giao dịch: Thiết kế Payment Flow, Tích hợp Payment Gateway, Payment Callback / Webhook; Phát hành, tạo mã/QR và xác thực vé: Phát hành Ticket, Generate Ticket Code, Generate QR Code; Xây giao diện ghế, thanh toán và tài khoản: Trang Seat Selection, Trang Ticket Type, Trang Booking Confirmation; Tích hợp frontend với API thật: API Client, Authentication Integration, Loading State; Chuẩn hóa validation và xử lý lỗi backend/frontend: Backend Validation, Frontend Validation, Global Exception Handling; Kiểm thử unit, integration và luồng đặt vé cốt lõi: Unit Test, Integration Test, Authentication Test</t>
        </is>
      </c>
      <c r="G5" s="2" t="inlineStr">
        <is>
          <t>CIN-T-015 → CIN-T-016; CIN-T-022 → CIN-T-016; CIN-T-023 → CIN-T-016; CIN-T-021 → CIN-T-022; CIN-T-019 → CIN-T-022; CIN-T-014 → CIN-T-022; CIN-T-022 → CIN-T-023; CIN-T-023 → CIN-T-024; CIN-T-022 → CIN-T-024; CIN-T-025 → CIN-T-026; CIN-T-022 → CIN-T-026; CIN-T-023 → CIN-T-026; CIN-T-024 → CIN-T-026; CIN-T-026 → CIN-T-027; CIN-T-016 → CIN-T-027; CIN-T-019 → CIN-T-027; CIN-T-014 → CIN-T-032; CIN-T-022 → CIN-T-032; CIN-T-023 → CIN-T-032; CIN-T-020 → CIN-T-035; CIN-T-021 → CIN-T-035; CIN-T-022 → CIN-T-035; CIN-T-023 → CIN-T-035; CIN-T-024 → CIN-T-035; CIN-T-027 → CIN-T-035</t>
        </is>
      </c>
      <c r="H5" s="2" t="inlineStr">
        <is>
          <t>PA4 – Integrated Demo: 27/11/2026.</t>
        </is>
      </c>
      <c r="I5" s="2">
        <f>SUMIFS('Master Subtasks'!$V$2:$V$293,'Master Subtasks'!$Q$2:$Q$293,A5)</f>
        <v/>
      </c>
      <c r="J5" s="2" t="inlineStr">
        <is>
          <t>Booking concurrency, payment result và ticket issuance là rủi ro; baseline chỉ dùng payment mô phỏng.</t>
        </is>
      </c>
      <c r="K5" s="2" t="inlineStr">
        <is>
          <t>Evidence reviewed; blockers/deferred scope explicitly accepted; milestone date/scope confirmed.</t>
        </is>
      </c>
    </row>
    <row r="6">
      <c r="A6" s="2" t="inlineStr">
        <is>
          <t>Sprint 5</t>
        </is>
      </c>
      <c r="B6" s="3" t="n">
        <v>46354</v>
      </c>
      <c r="C6" s="3" t="n">
        <v>46368</v>
      </c>
      <c r="D6" s="2" t="inlineStr">
        <is>
          <t>Ổn định, hoàn thiện admin/deploy/demo/tài liệu/báo cáo; tính năng tùy chọn chỉ làm khi còn năng lực.</t>
        </is>
      </c>
      <c r="E6" s="2" t="inlineStr">
        <is>
          <t>CIN-T-017 Triển khai API user và statistics cơ bản; CIN-T-028 Xây giao diện quản trị và nhân viên tối thiểu; CIN-T-029 Bổ sung tìm kiếm và bộ lọc cần thiết; CIN-T-030 Xây báo cáo cơ bản và đánh giá export; CIN-T-031 Đánh giá và triển khai AI movie assistant tùy chọn; CIN-T-034 Đánh giá security headers nâng cao; CIN-T-036 Chạy kiểm thử hồi quy trước khi bàn giao; CIN-T-038 Tự động hóa build, test và kiểm tra chất lượng; CIN-T-039 Chuẩn bị và xác minh môi trường triển khai demo; CIN-T-040 Hoàn thiện hosting và xác nhận triển khai; CIN-T-041 Đánh giá logging, health, backup và vận hành; CIN-T-044 Hoàn thiện hướng dẫn triển khai và sử dụng; CIN-T-045 Tích hợp toàn hệ thống và xử lý lỗi release; CIN-T-046 Chuẩn bị dữ liệu, tài khoản và kịch bản demo; CIN-T-049 Hoàn thiện chương kỹ thuật và triển khai trong báo cáo; CIN-T-050 Hoàn thiện đánh giá, slide và phân công thuyết trình</t>
        </is>
      </c>
      <c r="F6" s="2" t="inlineStr">
        <is>
          <t>Triển khai API user và statistics cơ bản: API User, API Statistics; Xây giao diện quản trị và nhân viên tối thiểu: Admin Layout, Dashboard, Quản lý Movie; Bổ sung tìm kiếm và bộ lọc cần thiết: Tìm kiếm phim, Lọc phim, Lọc Showtime; Xây báo cáo cơ bản và đánh giá export: Dashboard Statistics, Thống kê doanh thu, Thống kê vé; Đánh giá và triển khai AI movie assistant tùy chọn: Xác định chức năng AI, AI Movie Assistant, AI Movie Recommendation; Đánh giá security headers nâng cao: Security Headers; Chạy kiểm thử hồi quy trước khi bàn giao: Regression Test; Tự động hóa build, test và kiểm tra chất lượng: Thiết lập CI, Backend Build, Frontend Build; Chuẩn bị và xác minh môi trường triển khai demo: Chuẩn bị Production Server, Deploy Backend, Deploy Frontend; Hoàn thiện hosting và xác nhận triển khai: Domain, DNS, HTTPS / SSL; Đánh giá logging, health, backup và vận hành: Health Check, Logging, Error Monitoring; Hoàn thiện hướng dẫn triển khai và sử dụng: Deployment Documentation, User Guide; Tích hợp toàn hệ thống và xử lý lỗi release: Merge toàn bộ module, Kiểm tra API Integration, Kiểm tra Authentication; Chuẩn bị dữ liệu, tài khoản và kịch bản demo: Chuẩn bị tài khoản Demo, Chuẩn bị dữ liệu Demo, Chuẩn bị kịch bản Demo; Hoàn thiện chương kỹ thuật và triển khai trong báo cáo: Backend, Frontend, Authentication / Security; Hoàn thiện đánh giá, slide và phân công thuyết trình: Đánh giá hệ thống, Hình ảnh minh họa, Chuẩn bị Slide</t>
        </is>
      </c>
      <c r="G6" s="2" t="inlineStr">
        <is>
          <t>CIN-T-019 → CIN-T-017; CIN-T-015 → CIN-T-017; CIN-T-019 → CIN-T-028; CIN-T-020 → CIN-T-028; CIN-T-021 → CIN-T-028; CIN-T-017 → CIN-T-028; CIN-T-015 → CIN-T-029; CIN-T-028 → CIN-T-029; CIN-T-017 → CIN-T-030; CIN-T-023 → CIN-T-030; CIN-T-024 → CIN-T-030; CIN-T-025 → CIN-T-031; CIN-T-029 → CIN-T-031; CIN-T-033 → CIN-T-034; CIN-T-035 → CIN-T-036; CIN-T-028 → CIN-T-036; CIN-T-029 → CIN-T-036; CIN-T-030 → CIN-T-036; CIN-T-035 → CIN-T-038; CIN-T-012 → CIN-T-038; CIN-T-037 → CIN-T-039; CIN-T-038 → CIN-T-039; CIN-T-027 → CIN-T-039; CIN-T-039 → CIN-T-040; CIN-T-039 → CIN-T-041; CIN-T-039 → CIN-T-044; CIN-T-028 → CIN-T-044; CIN-T-027 → CIN-T-045; CIN-T-035 → CIN-T-045; CIN-T-028 → CIN-T-045; CIN-T-039 → CIN-T-045; CIN-T-045 → CIN-T-046; CIN-T-030 → CIN-T-046; CIN-T-045 → CIN-T-049; CIN-T-036 → CIN-T-049; CIN-T-044 → CIN-T-049; CIN-T-049 → CIN-T-050; CIN-T-046 → CIN-T-050</t>
        </is>
      </c>
      <c r="H6" s="2" t="inlineStr">
        <is>
          <t>PA5 – Final Build: 12/12/2026.</t>
        </is>
      </c>
      <c r="I6" s="2">
        <f>SUMIFS('Master Subtasks'!$V$2:$V$293,'Master Subtasks'!$Q$2:$Q$293,A6)</f>
        <v/>
      </c>
      <c r="J6" s="2" t="inlineStr">
        <is>
          <t>Sprint tải cao; gateway thật, AI, refund, production hosting và operations có thể phải defer.</t>
        </is>
      </c>
      <c r="K6" s="2" t="inlineStr">
        <is>
          <t>Evidence reviewed; blockers/deferred scope explicitly accepted; milestone date/scope confirmed.</t>
        </is>
      </c>
    </row>
  </sheetData>
  <autoFilter ref="A1:K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5" customWidth="1" min="9" max="9"/>
    <col width="16" customWidth="1" min="10" max="10"/>
    <col width="80" customWidth="1" min="11" max="11"/>
  </cols>
  <sheetData>
    <row r="1" ht="34" customHeight="1">
      <c r="A1" s="1" t="inlineStr">
        <is>
          <t>Member ID</t>
        </is>
      </c>
      <c r="B1" s="1" t="inlineStr">
        <is>
          <t>Member Name</t>
        </is>
      </c>
      <c r="C1" s="1" t="inlineStr">
        <is>
          <t>Role</t>
        </is>
      </c>
      <c r="D1" s="1" t="inlineStr">
        <is>
          <t>Sprint 1 (SP)</t>
        </is>
      </c>
      <c r="E1" s="1" t="inlineStr">
        <is>
          <t>Sprint 2 (SP)</t>
        </is>
      </c>
      <c r="F1" s="1" t="inlineStr">
        <is>
          <t>Sprint 3 (SP)</t>
        </is>
      </c>
      <c r="G1" s="1" t="inlineStr">
        <is>
          <t>Sprint 4 (SP)</t>
        </is>
      </c>
      <c r="H1" s="1" t="inlineStr">
        <is>
          <t>Sprint 5 (SP)</t>
        </is>
      </c>
      <c r="I1" s="1" t="inlineStr">
        <is>
          <t>Total (SP)</t>
        </is>
      </c>
      <c r="J1" s="1" t="inlineStr">
        <is>
          <t>Share of Team</t>
        </is>
      </c>
      <c r="K1" s="1" t="inlineStr">
        <is>
          <t>Capacity / Balance Note</t>
        </is>
      </c>
    </row>
    <row r="2">
      <c r="A2" s="2" t="inlineStr">
        <is>
          <t>24120235</t>
        </is>
      </c>
      <c r="B2" s="2" t="inlineStr">
        <is>
          <t>Huynh Thanh Tu</t>
        </is>
      </c>
      <c r="C2" s="2" t="inlineStr">
        <is>
          <t>Project Manager</t>
        </is>
      </c>
      <c r="D2" s="2">
        <f>SUMIFS('Master Subtasks'!$V$2:$V$293,'Master Subtasks'!$R$2:$R$293,$A2,'Master Subtasks'!$Q$2:$Q$293,"Sprint 1")</f>
        <v/>
      </c>
      <c r="E2" s="2">
        <f>SUMIFS('Master Subtasks'!$V$2:$V$293,'Master Subtasks'!$R$2:$R$293,$A2,'Master Subtasks'!$Q$2:$Q$293,"Sprint 2")</f>
        <v/>
      </c>
      <c r="F2" s="2">
        <f>SUMIFS('Master Subtasks'!$V$2:$V$293,'Master Subtasks'!$R$2:$R$293,$A2,'Master Subtasks'!$Q$2:$Q$293,"Sprint 3")</f>
        <v/>
      </c>
      <c r="G2" s="2">
        <f>SUMIFS('Master Subtasks'!$V$2:$V$293,'Master Subtasks'!$R$2:$R$293,$A2,'Master Subtasks'!$Q$2:$Q$293,"Sprint 4")</f>
        <v/>
      </c>
      <c r="H2" s="2">
        <f>SUMIFS('Master Subtasks'!$V$2:$V$293,'Master Subtasks'!$R$2:$R$293,$A2,'Master Subtasks'!$Q$2:$Q$293,"Sprint 5")</f>
        <v/>
      </c>
      <c r="I2" s="2">
        <f>SUM(D2:H2)</f>
        <v/>
      </c>
      <c r="J2" s="8">
        <f>IFERROR(I2/$I$7,0)</f>
        <v/>
      </c>
      <c r="K2" s="2">
        <f>IF(MAX(D2:H2)&gt;20,"Review: peak sprint load exceeds provisional 20-SP guardrail; confirm availability or re-scope.","No sprint exceeds provisional guardrail; confirm availability.")</f>
        <v/>
      </c>
    </row>
    <row r="3">
      <c r="A3" s="2" t="inlineStr">
        <is>
          <t>24120098</t>
        </is>
      </c>
      <c r="B3" s="2" t="inlineStr">
        <is>
          <t>Nguyen Quoc Nam</t>
        </is>
      </c>
      <c r="C3" s="2" t="inlineStr">
        <is>
          <t>Team Member</t>
        </is>
      </c>
      <c r="D3" s="2">
        <f>SUMIFS('Master Subtasks'!$V$2:$V$293,'Master Subtasks'!$R$2:$R$293,$A3,'Master Subtasks'!$Q$2:$Q$293,"Sprint 1")</f>
        <v/>
      </c>
      <c r="E3" s="2">
        <f>SUMIFS('Master Subtasks'!$V$2:$V$293,'Master Subtasks'!$R$2:$R$293,$A3,'Master Subtasks'!$Q$2:$Q$293,"Sprint 2")</f>
        <v/>
      </c>
      <c r="F3" s="2">
        <f>SUMIFS('Master Subtasks'!$V$2:$V$293,'Master Subtasks'!$R$2:$R$293,$A3,'Master Subtasks'!$Q$2:$Q$293,"Sprint 3")</f>
        <v/>
      </c>
      <c r="G3" s="2">
        <f>SUMIFS('Master Subtasks'!$V$2:$V$293,'Master Subtasks'!$R$2:$R$293,$A3,'Master Subtasks'!$Q$2:$Q$293,"Sprint 4")</f>
        <v/>
      </c>
      <c r="H3" s="2">
        <f>SUMIFS('Master Subtasks'!$V$2:$V$293,'Master Subtasks'!$R$2:$R$293,$A3,'Master Subtasks'!$Q$2:$Q$293,"Sprint 5")</f>
        <v/>
      </c>
      <c r="I3" s="2">
        <f>SUM(D3:H3)</f>
        <v/>
      </c>
      <c r="J3" s="8">
        <f>IFERROR(I3/$I$7,0)</f>
        <v/>
      </c>
      <c r="K3" s="2">
        <f>IF(MAX(D3:H3)&gt;20,"Review: peak sprint load exceeds provisional 20-SP guardrail; confirm availability or re-scope.","No sprint exceeds provisional guardrail; confirm availability.")</f>
        <v/>
      </c>
    </row>
    <row r="4">
      <c r="A4" s="2" t="inlineStr">
        <is>
          <t>24120271</t>
        </is>
      </c>
      <c r="B4" s="2" t="inlineStr">
        <is>
          <t>Nguyen Trung Chinh</t>
        </is>
      </c>
      <c r="C4" s="2" t="inlineStr">
        <is>
          <t>Team Member</t>
        </is>
      </c>
      <c r="D4" s="2">
        <f>SUMIFS('Master Subtasks'!$V$2:$V$293,'Master Subtasks'!$R$2:$R$293,$A4,'Master Subtasks'!$Q$2:$Q$293,"Sprint 1")</f>
        <v/>
      </c>
      <c r="E4" s="2">
        <f>SUMIFS('Master Subtasks'!$V$2:$V$293,'Master Subtasks'!$R$2:$R$293,$A4,'Master Subtasks'!$Q$2:$Q$293,"Sprint 2")</f>
        <v/>
      </c>
      <c r="F4" s="2">
        <f>SUMIFS('Master Subtasks'!$V$2:$V$293,'Master Subtasks'!$R$2:$R$293,$A4,'Master Subtasks'!$Q$2:$Q$293,"Sprint 3")</f>
        <v/>
      </c>
      <c r="G4" s="2">
        <f>SUMIFS('Master Subtasks'!$V$2:$V$293,'Master Subtasks'!$R$2:$R$293,$A4,'Master Subtasks'!$Q$2:$Q$293,"Sprint 4")</f>
        <v/>
      </c>
      <c r="H4" s="2">
        <f>SUMIFS('Master Subtasks'!$V$2:$V$293,'Master Subtasks'!$R$2:$R$293,$A4,'Master Subtasks'!$Q$2:$Q$293,"Sprint 5")</f>
        <v/>
      </c>
      <c r="I4" s="2">
        <f>SUM(D4:H4)</f>
        <v/>
      </c>
      <c r="J4" s="8">
        <f>IFERROR(I4/$I$7,0)</f>
        <v/>
      </c>
      <c r="K4" s="2">
        <f>IF(MAX(D4:H4)&gt;20,"Review: peak sprint load exceeds provisional 20-SP guardrail; confirm availability or re-scope.","No sprint exceeds provisional guardrail; confirm availability.")</f>
        <v/>
      </c>
    </row>
    <row r="5">
      <c r="A5" s="2" t="inlineStr">
        <is>
          <t>24120244</t>
        </is>
      </c>
      <c r="B5" s="2" t="inlineStr">
        <is>
          <t>Phan Van Viet</t>
        </is>
      </c>
      <c r="C5" s="2" t="inlineStr">
        <is>
          <t>Team Member</t>
        </is>
      </c>
      <c r="D5" s="2">
        <f>SUMIFS('Master Subtasks'!$V$2:$V$293,'Master Subtasks'!$R$2:$R$293,$A5,'Master Subtasks'!$Q$2:$Q$293,"Sprint 1")</f>
        <v/>
      </c>
      <c r="E5" s="2">
        <f>SUMIFS('Master Subtasks'!$V$2:$V$293,'Master Subtasks'!$R$2:$R$293,$A5,'Master Subtasks'!$Q$2:$Q$293,"Sprint 2")</f>
        <v/>
      </c>
      <c r="F5" s="2">
        <f>SUMIFS('Master Subtasks'!$V$2:$V$293,'Master Subtasks'!$R$2:$R$293,$A5,'Master Subtasks'!$Q$2:$Q$293,"Sprint 3")</f>
        <v/>
      </c>
      <c r="G5" s="2">
        <f>SUMIFS('Master Subtasks'!$V$2:$V$293,'Master Subtasks'!$R$2:$R$293,$A5,'Master Subtasks'!$Q$2:$Q$293,"Sprint 4")</f>
        <v/>
      </c>
      <c r="H5" s="2">
        <f>SUMIFS('Master Subtasks'!$V$2:$V$293,'Master Subtasks'!$R$2:$R$293,$A5,'Master Subtasks'!$Q$2:$Q$293,"Sprint 5")</f>
        <v/>
      </c>
      <c r="I5" s="2">
        <f>SUM(D5:H5)</f>
        <v/>
      </c>
      <c r="J5" s="8">
        <f>IFERROR(I5/$I$7,0)</f>
        <v/>
      </c>
      <c r="K5" s="2">
        <f>IF(MAX(D5:H5)&gt;20,"Review: peak sprint load exceeds provisional 20-SP guardrail; confirm availability or re-scope.","No sprint exceeds provisional guardrail; confirm availability.")</f>
        <v/>
      </c>
    </row>
    <row r="6">
      <c r="A6" s="2" t="inlineStr">
        <is>
          <t>24120255</t>
        </is>
      </c>
      <c r="B6" s="2" t="inlineStr">
        <is>
          <t>Tran Thien An</t>
        </is>
      </c>
      <c r="C6" s="2" t="inlineStr">
        <is>
          <t>Team Member</t>
        </is>
      </c>
      <c r="D6" s="2">
        <f>SUMIFS('Master Subtasks'!$V$2:$V$293,'Master Subtasks'!$R$2:$R$293,$A6,'Master Subtasks'!$Q$2:$Q$293,"Sprint 1")</f>
        <v/>
      </c>
      <c r="E6" s="2">
        <f>SUMIFS('Master Subtasks'!$V$2:$V$293,'Master Subtasks'!$R$2:$R$293,$A6,'Master Subtasks'!$Q$2:$Q$293,"Sprint 2")</f>
        <v/>
      </c>
      <c r="F6" s="2">
        <f>SUMIFS('Master Subtasks'!$V$2:$V$293,'Master Subtasks'!$R$2:$R$293,$A6,'Master Subtasks'!$Q$2:$Q$293,"Sprint 3")</f>
        <v/>
      </c>
      <c r="G6" s="2">
        <f>SUMIFS('Master Subtasks'!$V$2:$V$293,'Master Subtasks'!$R$2:$R$293,$A6,'Master Subtasks'!$Q$2:$Q$293,"Sprint 4")</f>
        <v/>
      </c>
      <c r="H6" s="2">
        <f>SUMIFS('Master Subtasks'!$V$2:$V$293,'Master Subtasks'!$R$2:$R$293,$A6,'Master Subtasks'!$Q$2:$Q$293,"Sprint 5")</f>
        <v/>
      </c>
      <c r="I6" s="2">
        <f>SUM(D6:H6)</f>
        <v/>
      </c>
      <c r="J6" s="8">
        <f>IFERROR(I6/$I$7,0)</f>
        <v/>
      </c>
      <c r="K6" s="2">
        <f>IF(MAX(D6:H6)&gt;20,"Review: peak sprint load exceeds provisional 20-SP guardrail; confirm availability or re-scope.","No sprint exceeds provisional guardrail; confirm availability.")</f>
        <v/>
      </c>
    </row>
    <row r="7">
      <c r="A7" s="2" t="inlineStr"/>
      <c r="B7" s="2" t="inlineStr"/>
      <c r="C7" s="2" t="inlineStr"/>
      <c r="D7" s="2">
        <f>SUM(D2:D6)</f>
        <v/>
      </c>
      <c r="E7" s="2">
        <f>SUM(E2:E6)</f>
        <v/>
      </c>
      <c r="F7" s="2">
        <f>SUM(F2:F6)</f>
        <v/>
      </c>
      <c r="G7" s="2">
        <f>SUM(G2:G6)</f>
        <v/>
      </c>
      <c r="H7" s="2">
        <f>SUM(H2:H6)</f>
        <v/>
      </c>
      <c r="I7" s="2">
        <f>SUM(I2:I6)</f>
        <v/>
      </c>
      <c r="J7" s="2">
        <f>SUM(J2:J6)</f>
        <v/>
      </c>
      <c r="K7" s="2">
        <f>IF(MAX(D7:H7)&gt;100,"Team sprint load exceeds provisional 100-SP guardrail; confirm capacity or re-scope.","No team sprint exceeds provisional guardrail.")</f>
        <v/>
      </c>
    </row>
    <row r="10">
      <c r="A10" s="9" t="inlineStr">
        <is>
          <t>Effort by member and phase (SP)</t>
        </is>
      </c>
    </row>
    <row r="11">
      <c r="A11" s="10" t="inlineStr">
        <is>
          <t>Member ID</t>
        </is>
      </c>
      <c r="B11" s="10" t="inlineStr">
        <is>
          <t>Member Name</t>
        </is>
      </c>
      <c r="C11" s="10" t="inlineStr">
        <is>
          <t>Discovery &amp; PA1</t>
        </is>
      </c>
      <c r="D11" s="10" t="inlineStr">
        <is>
          <t>Solution Design &amp; Foundations</t>
        </is>
      </c>
      <c r="E11" s="10" t="inlineStr">
        <is>
          <t>Core Product Build</t>
        </is>
      </c>
      <c r="F11" s="10" t="inlineStr">
        <is>
          <t>Release, Verification &amp; Handover</t>
        </is>
      </c>
      <c r="G11" s="10" t="inlineStr">
        <is>
          <t>Total (SP)</t>
        </is>
      </c>
    </row>
    <row r="12">
      <c r="A12" t="inlineStr">
        <is>
          <t>24120235</t>
        </is>
      </c>
      <c r="B12" t="inlineStr">
        <is>
          <t>Huynh Thanh Tu</t>
        </is>
      </c>
      <c r="C12">
        <f>SUMIFS('Master Subtasks'!$V$2:$V$293,'Master Subtasks'!$R$2:$R$293,$A12,'Master Subtasks'!$J$2:$J$293,"PH-01")</f>
        <v/>
      </c>
      <c r="D12">
        <f>SUMIFS('Master Subtasks'!$V$2:$V$293,'Master Subtasks'!$R$2:$R$293,$A12,'Master Subtasks'!$J$2:$J$293,"PH-02")</f>
        <v/>
      </c>
      <c r="E12">
        <f>SUMIFS('Master Subtasks'!$V$2:$V$293,'Master Subtasks'!$R$2:$R$293,$A12,'Master Subtasks'!$J$2:$J$293,"PH-03")</f>
        <v/>
      </c>
      <c r="F12">
        <f>SUMIFS('Master Subtasks'!$V$2:$V$293,'Master Subtasks'!$R$2:$R$293,$A12,'Master Subtasks'!$J$2:$J$293,"PH-04")</f>
        <v/>
      </c>
      <c r="G12">
        <f>SUM(C12:F12)</f>
        <v/>
      </c>
    </row>
    <row r="13">
      <c r="A13" t="inlineStr">
        <is>
          <t>24120098</t>
        </is>
      </c>
      <c r="B13" t="inlineStr">
        <is>
          <t>Nguyen Quoc Nam</t>
        </is>
      </c>
      <c r="C13">
        <f>SUMIFS('Master Subtasks'!$V$2:$V$293,'Master Subtasks'!$R$2:$R$293,$A13,'Master Subtasks'!$J$2:$J$293,"PH-01")</f>
        <v/>
      </c>
      <c r="D13">
        <f>SUMIFS('Master Subtasks'!$V$2:$V$293,'Master Subtasks'!$R$2:$R$293,$A13,'Master Subtasks'!$J$2:$J$293,"PH-02")</f>
        <v/>
      </c>
      <c r="E13">
        <f>SUMIFS('Master Subtasks'!$V$2:$V$293,'Master Subtasks'!$R$2:$R$293,$A13,'Master Subtasks'!$J$2:$J$293,"PH-03")</f>
        <v/>
      </c>
      <c r="F13">
        <f>SUMIFS('Master Subtasks'!$V$2:$V$293,'Master Subtasks'!$R$2:$R$293,$A13,'Master Subtasks'!$J$2:$J$293,"PH-04")</f>
        <v/>
      </c>
      <c r="G13">
        <f>SUM(C13:F13)</f>
        <v/>
      </c>
    </row>
    <row r="14">
      <c r="A14" t="inlineStr">
        <is>
          <t>24120271</t>
        </is>
      </c>
      <c r="B14" t="inlineStr">
        <is>
          <t>Nguyen Trung Chinh</t>
        </is>
      </c>
      <c r="C14">
        <f>SUMIFS('Master Subtasks'!$V$2:$V$293,'Master Subtasks'!$R$2:$R$293,$A14,'Master Subtasks'!$J$2:$J$293,"PH-01")</f>
        <v/>
      </c>
      <c r="D14">
        <f>SUMIFS('Master Subtasks'!$V$2:$V$293,'Master Subtasks'!$R$2:$R$293,$A14,'Master Subtasks'!$J$2:$J$293,"PH-02")</f>
        <v/>
      </c>
      <c r="E14">
        <f>SUMIFS('Master Subtasks'!$V$2:$V$293,'Master Subtasks'!$R$2:$R$293,$A14,'Master Subtasks'!$J$2:$J$293,"PH-03")</f>
        <v/>
      </c>
      <c r="F14">
        <f>SUMIFS('Master Subtasks'!$V$2:$V$293,'Master Subtasks'!$R$2:$R$293,$A14,'Master Subtasks'!$J$2:$J$293,"PH-04")</f>
        <v/>
      </c>
      <c r="G14">
        <f>SUM(C14:F14)</f>
        <v/>
      </c>
    </row>
    <row r="15">
      <c r="A15" t="inlineStr">
        <is>
          <t>24120244</t>
        </is>
      </c>
      <c r="B15" t="inlineStr">
        <is>
          <t>Phan Van Viet</t>
        </is>
      </c>
      <c r="C15">
        <f>SUMIFS('Master Subtasks'!$V$2:$V$293,'Master Subtasks'!$R$2:$R$293,$A15,'Master Subtasks'!$J$2:$J$293,"PH-01")</f>
        <v/>
      </c>
      <c r="D15">
        <f>SUMIFS('Master Subtasks'!$V$2:$V$293,'Master Subtasks'!$R$2:$R$293,$A15,'Master Subtasks'!$J$2:$J$293,"PH-02")</f>
        <v/>
      </c>
      <c r="E15">
        <f>SUMIFS('Master Subtasks'!$V$2:$V$293,'Master Subtasks'!$R$2:$R$293,$A15,'Master Subtasks'!$J$2:$J$293,"PH-03")</f>
        <v/>
      </c>
      <c r="F15">
        <f>SUMIFS('Master Subtasks'!$V$2:$V$293,'Master Subtasks'!$R$2:$R$293,$A15,'Master Subtasks'!$J$2:$J$293,"PH-04")</f>
        <v/>
      </c>
      <c r="G15">
        <f>SUM(C15:F15)</f>
        <v/>
      </c>
    </row>
    <row r="16">
      <c r="A16" t="inlineStr">
        <is>
          <t>24120255</t>
        </is>
      </c>
      <c r="B16" t="inlineStr">
        <is>
          <t>Tran Thien An</t>
        </is>
      </c>
      <c r="C16">
        <f>SUMIFS('Master Subtasks'!$V$2:$V$293,'Master Subtasks'!$R$2:$R$293,$A16,'Master Subtasks'!$J$2:$J$293,"PH-01")</f>
        <v/>
      </c>
      <c r="D16">
        <f>SUMIFS('Master Subtasks'!$V$2:$V$293,'Master Subtasks'!$R$2:$R$293,$A16,'Master Subtasks'!$J$2:$J$293,"PH-02")</f>
        <v/>
      </c>
      <c r="E16">
        <f>SUMIFS('Master Subtasks'!$V$2:$V$293,'Master Subtasks'!$R$2:$R$293,$A16,'Master Subtasks'!$J$2:$J$293,"PH-03")</f>
        <v/>
      </c>
      <c r="F16">
        <f>SUMIFS('Master Subtasks'!$V$2:$V$293,'Master Subtasks'!$R$2:$R$293,$A16,'Master Subtasks'!$J$2:$J$293,"PH-04")</f>
        <v/>
      </c>
      <c r="G16">
        <f>SUM(C16:F16)</f>
        <v/>
      </c>
    </row>
    <row r="19">
      <c r="A19" s="9" t="inlineStr">
        <is>
          <t>Effort by work type and member (SP)</t>
        </is>
      </c>
    </row>
    <row r="20">
      <c r="A20" s="10" t="inlineStr">
        <is>
          <t>Work Type</t>
        </is>
      </c>
      <c r="B20" s="10" t="inlineStr">
        <is>
          <t>Huynh Thanh Tu</t>
        </is>
      </c>
      <c r="C20" s="10" t="inlineStr">
        <is>
          <t>Nguyen Quoc Nam</t>
        </is>
      </c>
      <c r="D20" s="10" t="inlineStr">
        <is>
          <t>Nguyen Trung Chinh</t>
        </is>
      </c>
      <c r="E20" s="10" t="inlineStr">
        <is>
          <t>Phan Van Viet</t>
        </is>
      </c>
      <c r="F20" s="10" t="inlineStr">
        <is>
          <t>Tran Thien An</t>
        </is>
      </c>
      <c r="G20" s="10" t="inlineStr">
        <is>
          <t>Total (SP)</t>
        </is>
      </c>
    </row>
    <row r="21">
      <c r="A21" t="inlineStr">
        <is>
          <t>API Design</t>
        </is>
      </c>
      <c r="B21">
        <f>SUMIFS('Master Subtasks'!$V$2:$V$293,'Master Subtasks'!$S$2:$S$293,"Huynh Thanh Tu",'Master Subtasks'!$X$2:$X$293,$A21)</f>
        <v/>
      </c>
      <c r="C21">
        <f>SUMIFS('Master Subtasks'!$V$2:$V$293,'Master Subtasks'!$S$2:$S$293,"Nguyen Quoc Nam",'Master Subtasks'!$X$2:$X$293,$A21)</f>
        <v/>
      </c>
      <c r="D21">
        <f>SUMIFS('Master Subtasks'!$V$2:$V$293,'Master Subtasks'!$S$2:$S$293,"Nguyen Trung Chinh",'Master Subtasks'!$X$2:$X$293,$A21)</f>
        <v/>
      </c>
      <c r="E21">
        <f>SUMIFS('Master Subtasks'!$V$2:$V$293,'Master Subtasks'!$S$2:$S$293,"Phan Van Viet",'Master Subtasks'!$X$2:$X$293,$A21)</f>
        <v/>
      </c>
      <c r="F21">
        <f>SUMIFS('Master Subtasks'!$V$2:$V$293,'Master Subtasks'!$S$2:$S$293,"Tran Thien An",'Master Subtasks'!$X$2:$X$293,$A21)</f>
        <v/>
      </c>
      <c r="G21">
        <f>SUM(B21:F21)</f>
        <v/>
      </c>
    </row>
    <row r="22">
      <c r="A22" t="inlineStr">
        <is>
          <t>Analysis</t>
        </is>
      </c>
      <c r="B22">
        <f>SUMIFS('Master Subtasks'!$V$2:$V$293,'Master Subtasks'!$S$2:$S$293,"Huynh Thanh Tu",'Master Subtasks'!$X$2:$X$293,$A22)</f>
        <v/>
      </c>
      <c r="C22">
        <f>SUMIFS('Master Subtasks'!$V$2:$V$293,'Master Subtasks'!$S$2:$S$293,"Nguyen Quoc Nam",'Master Subtasks'!$X$2:$X$293,$A22)</f>
        <v/>
      </c>
      <c r="D22">
        <f>SUMIFS('Master Subtasks'!$V$2:$V$293,'Master Subtasks'!$S$2:$S$293,"Nguyen Trung Chinh",'Master Subtasks'!$X$2:$X$293,$A22)</f>
        <v/>
      </c>
      <c r="E22">
        <f>SUMIFS('Master Subtasks'!$V$2:$V$293,'Master Subtasks'!$S$2:$S$293,"Phan Van Viet",'Master Subtasks'!$X$2:$X$293,$A22)</f>
        <v/>
      </c>
      <c r="F22">
        <f>SUMIFS('Master Subtasks'!$V$2:$V$293,'Master Subtasks'!$S$2:$S$293,"Tran Thien An",'Master Subtasks'!$X$2:$X$293,$A22)</f>
        <v/>
      </c>
      <c r="G22">
        <f>SUM(B22:F22)</f>
        <v/>
      </c>
    </row>
    <row r="23">
      <c r="A23" t="inlineStr">
        <is>
          <t>Analysis / Design</t>
        </is>
      </c>
      <c r="B23">
        <f>SUMIFS('Master Subtasks'!$V$2:$V$293,'Master Subtasks'!$S$2:$S$293,"Huynh Thanh Tu",'Master Subtasks'!$X$2:$X$293,$A23)</f>
        <v/>
      </c>
      <c r="C23">
        <f>SUMIFS('Master Subtasks'!$V$2:$V$293,'Master Subtasks'!$S$2:$S$293,"Nguyen Quoc Nam",'Master Subtasks'!$X$2:$X$293,$A23)</f>
        <v/>
      </c>
      <c r="D23">
        <f>SUMIFS('Master Subtasks'!$V$2:$V$293,'Master Subtasks'!$S$2:$S$293,"Nguyen Trung Chinh",'Master Subtasks'!$X$2:$X$293,$A23)</f>
        <v/>
      </c>
      <c r="E23">
        <f>SUMIFS('Master Subtasks'!$V$2:$V$293,'Master Subtasks'!$S$2:$S$293,"Phan Van Viet",'Master Subtasks'!$X$2:$X$293,$A23)</f>
        <v/>
      </c>
      <c r="F23">
        <f>SUMIFS('Master Subtasks'!$V$2:$V$293,'Master Subtasks'!$S$2:$S$293,"Tran Thien An",'Master Subtasks'!$X$2:$X$293,$A23)</f>
        <v/>
      </c>
      <c r="G23">
        <f>SUM(B23:F23)</f>
        <v/>
      </c>
    </row>
    <row r="24">
      <c r="A24" t="inlineStr">
        <is>
          <t>Backend / Security</t>
        </is>
      </c>
      <c r="B24">
        <f>SUMIFS('Master Subtasks'!$V$2:$V$293,'Master Subtasks'!$S$2:$S$293,"Huynh Thanh Tu",'Master Subtasks'!$X$2:$X$293,$A24)</f>
        <v/>
      </c>
      <c r="C24">
        <f>SUMIFS('Master Subtasks'!$V$2:$V$293,'Master Subtasks'!$S$2:$S$293,"Nguyen Quoc Nam",'Master Subtasks'!$X$2:$X$293,$A24)</f>
        <v/>
      </c>
      <c r="D24">
        <f>SUMIFS('Master Subtasks'!$V$2:$V$293,'Master Subtasks'!$S$2:$S$293,"Nguyen Trung Chinh",'Master Subtasks'!$X$2:$X$293,$A24)</f>
        <v/>
      </c>
      <c r="E24">
        <f>SUMIFS('Master Subtasks'!$V$2:$V$293,'Master Subtasks'!$S$2:$S$293,"Phan Van Viet",'Master Subtasks'!$X$2:$X$293,$A24)</f>
        <v/>
      </c>
      <c r="F24">
        <f>SUMIFS('Master Subtasks'!$V$2:$V$293,'Master Subtasks'!$S$2:$S$293,"Tran Thien An",'Master Subtasks'!$X$2:$X$293,$A24)</f>
        <v/>
      </c>
      <c r="G24">
        <f>SUM(B24:F24)</f>
        <v/>
      </c>
    </row>
    <row r="25">
      <c r="A25" t="inlineStr">
        <is>
          <t>Backend Development</t>
        </is>
      </c>
      <c r="B25">
        <f>SUMIFS('Master Subtasks'!$V$2:$V$293,'Master Subtasks'!$S$2:$S$293,"Huynh Thanh Tu",'Master Subtasks'!$X$2:$X$293,$A25)</f>
        <v/>
      </c>
      <c r="C25">
        <f>SUMIFS('Master Subtasks'!$V$2:$V$293,'Master Subtasks'!$S$2:$S$293,"Nguyen Quoc Nam",'Master Subtasks'!$X$2:$X$293,$A25)</f>
        <v/>
      </c>
      <c r="D25">
        <f>SUMIFS('Master Subtasks'!$V$2:$V$293,'Master Subtasks'!$S$2:$S$293,"Nguyen Trung Chinh",'Master Subtasks'!$X$2:$X$293,$A25)</f>
        <v/>
      </c>
      <c r="E25">
        <f>SUMIFS('Master Subtasks'!$V$2:$V$293,'Master Subtasks'!$S$2:$S$293,"Phan Van Viet",'Master Subtasks'!$X$2:$X$293,$A25)</f>
        <v/>
      </c>
      <c r="F25">
        <f>SUMIFS('Master Subtasks'!$V$2:$V$293,'Master Subtasks'!$S$2:$S$293,"Tran Thien An",'Master Subtasks'!$X$2:$X$293,$A25)</f>
        <v/>
      </c>
      <c r="G25">
        <f>SUM(B25:F25)</f>
        <v/>
      </c>
    </row>
    <row r="26">
      <c r="A26" t="inlineStr">
        <is>
          <t>Database Design</t>
        </is>
      </c>
      <c r="B26">
        <f>SUMIFS('Master Subtasks'!$V$2:$V$293,'Master Subtasks'!$S$2:$S$293,"Huynh Thanh Tu",'Master Subtasks'!$X$2:$X$293,$A26)</f>
        <v/>
      </c>
      <c r="C26">
        <f>SUMIFS('Master Subtasks'!$V$2:$V$293,'Master Subtasks'!$S$2:$S$293,"Nguyen Quoc Nam",'Master Subtasks'!$X$2:$X$293,$A26)</f>
        <v/>
      </c>
      <c r="D26">
        <f>SUMIFS('Master Subtasks'!$V$2:$V$293,'Master Subtasks'!$S$2:$S$293,"Nguyen Trung Chinh",'Master Subtasks'!$X$2:$X$293,$A26)</f>
        <v/>
      </c>
      <c r="E26">
        <f>SUMIFS('Master Subtasks'!$V$2:$V$293,'Master Subtasks'!$S$2:$S$293,"Phan Van Viet",'Master Subtasks'!$X$2:$X$293,$A26)</f>
        <v/>
      </c>
      <c r="F26">
        <f>SUMIFS('Master Subtasks'!$V$2:$V$293,'Master Subtasks'!$S$2:$S$293,"Tran Thien An",'Master Subtasks'!$X$2:$X$293,$A26)</f>
        <v/>
      </c>
      <c r="G26">
        <f>SUM(B26:F26)</f>
        <v/>
      </c>
    </row>
    <row r="27">
      <c r="A27" t="inlineStr">
        <is>
          <t>Demo / Handover</t>
        </is>
      </c>
      <c r="B27">
        <f>SUMIFS('Master Subtasks'!$V$2:$V$293,'Master Subtasks'!$S$2:$S$293,"Huynh Thanh Tu",'Master Subtasks'!$X$2:$X$293,$A27)</f>
        <v/>
      </c>
      <c r="C27">
        <f>SUMIFS('Master Subtasks'!$V$2:$V$293,'Master Subtasks'!$S$2:$S$293,"Nguyen Quoc Nam",'Master Subtasks'!$X$2:$X$293,$A27)</f>
        <v/>
      </c>
      <c r="D27">
        <f>SUMIFS('Master Subtasks'!$V$2:$V$293,'Master Subtasks'!$S$2:$S$293,"Nguyen Trung Chinh",'Master Subtasks'!$X$2:$X$293,$A27)</f>
        <v/>
      </c>
      <c r="E27">
        <f>SUMIFS('Master Subtasks'!$V$2:$V$293,'Master Subtasks'!$S$2:$S$293,"Phan Van Viet",'Master Subtasks'!$X$2:$X$293,$A27)</f>
        <v/>
      </c>
      <c r="F27">
        <f>SUMIFS('Master Subtasks'!$V$2:$V$293,'Master Subtasks'!$S$2:$S$293,"Tran Thien An",'Master Subtasks'!$X$2:$X$293,$A27)</f>
        <v/>
      </c>
      <c r="G27">
        <f>SUM(B27:F27)</f>
        <v/>
      </c>
    </row>
    <row r="28">
      <c r="A28" t="inlineStr">
        <is>
          <t>Deployment</t>
        </is>
      </c>
      <c r="B28">
        <f>SUMIFS('Master Subtasks'!$V$2:$V$293,'Master Subtasks'!$S$2:$S$293,"Huynh Thanh Tu",'Master Subtasks'!$X$2:$X$293,$A28)</f>
        <v/>
      </c>
      <c r="C28">
        <f>SUMIFS('Master Subtasks'!$V$2:$V$293,'Master Subtasks'!$S$2:$S$293,"Nguyen Quoc Nam",'Master Subtasks'!$X$2:$X$293,$A28)</f>
        <v/>
      </c>
      <c r="D28">
        <f>SUMIFS('Master Subtasks'!$V$2:$V$293,'Master Subtasks'!$S$2:$S$293,"Nguyen Trung Chinh",'Master Subtasks'!$X$2:$X$293,$A28)</f>
        <v/>
      </c>
      <c r="E28">
        <f>SUMIFS('Master Subtasks'!$V$2:$V$293,'Master Subtasks'!$S$2:$S$293,"Phan Van Viet",'Master Subtasks'!$X$2:$X$293,$A28)</f>
        <v/>
      </c>
      <c r="F28">
        <f>SUMIFS('Master Subtasks'!$V$2:$V$293,'Master Subtasks'!$S$2:$S$293,"Tran Thien An",'Master Subtasks'!$X$2:$X$293,$A28)</f>
        <v/>
      </c>
      <c r="G28">
        <f>SUM(B28:F28)</f>
        <v/>
      </c>
    </row>
    <row r="29">
      <c r="A29" t="inlineStr">
        <is>
          <t>DevOps</t>
        </is>
      </c>
      <c r="B29">
        <f>SUMIFS('Master Subtasks'!$V$2:$V$293,'Master Subtasks'!$S$2:$S$293,"Huynh Thanh Tu",'Master Subtasks'!$X$2:$X$293,$A29)</f>
        <v/>
      </c>
      <c r="C29">
        <f>SUMIFS('Master Subtasks'!$V$2:$V$293,'Master Subtasks'!$S$2:$S$293,"Nguyen Quoc Nam",'Master Subtasks'!$X$2:$X$293,$A29)</f>
        <v/>
      </c>
      <c r="D29">
        <f>SUMIFS('Master Subtasks'!$V$2:$V$293,'Master Subtasks'!$S$2:$S$293,"Nguyen Trung Chinh",'Master Subtasks'!$X$2:$X$293,$A29)</f>
        <v/>
      </c>
      <c r="E29">
        <f>SUMIFS('Master Subtasks'!$V$2:$V$293,'Master Subtasks'!$S$2:$S$293,"Phan Van Viet",'Master Subtasks'!$X$2:$X$293,$A29)</f>
        <v/>
      </c>
      <c r="F29">
        <f>SUMIFS('Master Subtasks'!$V$2:$V$293,'Master Subtasks'!$S$2:$S$293,"Tran Thien An",'Master Subtasks'!$X$2:$X$293,$A29)</f>
        <v/>
      </c>
      <c r="G29">
        <f>SUM(B29:F29)</f>
        <v/>
      </c>
    </row>
    <row r="30">
      <c r="A30" t="inlineStr">
        <is>
          <t>Documentation</t>
        </is>
      </c>
      <c r="B30">
        <f>SUMIFS('Master Subtasks'!$V$2:$V$293,'Master Subtasks'!$S$2:$S$293,"Huynh Thanh Tu",'Master Subtasks'!$X$2:$X$293,$A30)</f>
        <v/>
      </c>
      <c r="C30">
        <f>SUMIFS('Master Subtasks'!$V$2:$V$293,'Master Subtasks'!$S$2:$S$293,"Nguyen Quoc Nam",'Master Subtasks'!$X$2:$X$293,$A30)</f>
        <v/>
      </c>
      <c r="D30">
        <f>SUMIFS('Master Subtasks'!$V$2:$V$293,'Master Subtasks'!$S$2:$S$293,"Nguyen Trung Chinh",'Master Subtasks'!$X$2:$X$293,$A30)</f>
        <v/>
      </c>
      <c r="E30">
        <f>SUMIFS('Master Subtasks'!$V$2:$V$293,'Master Subtasks'!$S$2:$S$293,"Phan Van Viet",'Master Subtasks'!$X$2:$X$293,$A30)</f>
        <v/>
      </c>
      <c r="F30">
        <f>SUMIFS('Master Subtasks'!$V$2:$V$293,'Master Subtasks'!$S$2:$S$293,"Tran Thien An",'Master Subtasks'!$X$2:$X$293,$A30)</f>
        <v/>
      </c>
      <c r="G30">
        <f>SUM(B30:F30)</f>
        <v/>
      </c>
    </row>
    <row r="31">
      <c r="A31" t="inlineStr">
        <is>
          <t>Documentation / Handover</t>
        </is>
      </c>
      <c r="B31">
        <f>SUMIFS('Master Subtasks'!$V$2:$V$293,'Master Subtasks'!$S$2:$S$293,"Huynh Thanh Tu",'Master Subtasks'!$X$2:$X$293,$A31)</f>
        <v/>
      </c>
      <c r="C31">
        <f>SUMIFS('Master Subtasks'!$V$2:$V$293,'Master Subtasks'!$S$2:$S$293,"Nguyen Quoc Nam",'Master Subtasks'!$X$2:$X$293,$A31)</f>
        <v/>
      </c>
      <c r="D31">
        <f>SUMIFS('Master Subtasks'!$V$2:$V$293,'Master Subtasks'!$S$2:$S$293,"Nguyen Trung Chinh",'Master Subtasks'!$X$2:$X$293,$A31)</f>
        <v/>
      </c>
      <c r="E31">
        <f>SUMIFS('Master Subtasks'!$V$2:$V$293,'Master Subtasks'!$S$2:$S$293,"Phan Van Viet",'Master Subtasks'!$X$2:$X$293,$A31)</f>
        <v/>
      </c>
      <c r="F31">
        <f>SUMIFS('Master Subtasks'!$V$2:$V$293,'Master Subtasks'!$S$2:$S$293,"Tran Thien An",'Master Subtasks'!$X$2:$X$293,$A31)</f>
        <v/>
      </c>
      <c r="G31">
        <f>SUM(B31:F31)</f>
        <v/>
      </c>
    </row>
    <row r="32">
      <c r="A32" t="inlineStr">
        <is>
          <t>Environment / DevEx</t>
        </is>
      </c>
      <c r="B32">
        <f>SUMIFS('Master Subtasks'!$V$2:$V$293,'Master Subtasks'!$S$2:$S$293,"Huynh Thanh Tu",'Master Subtasks'!$X$2:$X$293,$A32)</f>
        <v/>
      </c>
      <c r="C32">
        <f>SUMIFS('Master Subtasks'!$V$2:$V$293,'Master Subtasks'!$S$2:$S$293,"Nguyen Quoc Nam",'Master Subtasks'!$X$2:$X$293,$A32)</f>
        <v/>
      </c>
      <c r="D32">
        <f>SUMIFS('Master Subtasks'!$V$2:$V$293,'Master Subtasks'!$S$2:$S$293,"Nguyen Trung Chinh",'Master Subtasks'!$X$2:$X$293,$A32)</f>
        <v/>
      </c>
      <c r="E32">
        <f>SUMIFS('Master Subtasks'!$V$2:$V$293,'Master Subtasks'!$S$2:$S$293,"Phan Van Viet",'Master Subtasks'!$X$2:$X$293,$A32)</f>
        <v/>
      </c>
      <c r="F32">
        <f>SUMIFS('Master Subtasks'!$V$2:$V$293,'Master Subtasks'!$S$2:$S$293,"Tran Thien An",'Master Subtasks'!$X$2:$X$293,$A32)</f>
        <v/>
      </c>
      <c r="G32">
        <f>SUM(B32:F32)</f>
        <v/>
      </c>
    </row>
    <row r="33">
      <c r="A33" t="inlineStr">
        <is>
          <t>Frontend / Backend Development</t>
        </is>
      </c>
      <c r="B33">
        <f>SUMIFS('Master Subtasks'!$V$2:$V$293,'Master Subtasks'!$S$2:$S$293,"Huynh Thanh Tu",'Master Subtasks'!$X$2:$X$293,$A33)</f>
        <v/>
      </c>
      <c r="C33">
        <f>SUMIFS('Master Subtasks'!$V$2:$V$293,'Master Subtasks'!$S$2:$S$293,"Nguyen Quoc Nam",'Master Subtasks'!$X$2:$X$293,$A33)</f>
        <v/>
      </c>
      <c r="D33">
        <f>SUMIFS('Master Subtasks'!$V$2:$V$293,'Master Subtasks'!$S$2:$S$293,"Nguyen Trung Chinh",'Master Subtasks'!$X$2:$X$293,$A33)</f>
        <v/>
      </c>
      <c r="E33">
        <f>SUMIFS('Master Subtasks'!$V$2:$V$293,'Master Subtasks'!$S$2:$S$293,"Phan Van Viet",'Master Subtasks'!$X$2:$X$293,$A33)</f>
        <v/>
      </c>
      <c r="F33">
        <f>SUMIFS('Master Subtasks'!$V$2:$V$293,'Master Subtasks'!$S$2:$S$293,"Tran Thien An",'Master Subtasks'!$X$2:$X$293,$A33)</f>
        <v/>
      </c>
      <c r="G33">
        <f>SUM(B33:F33)</f>
        <v/>
      </c>
    </row>
    <row r="34">
      <c r="A34" t="inlineStr">
        <is>
          <t>Frontend Development</t>
        </is>
      </c>
      <c r="B34">
        <f>SUMIFS('Master Subtasks'!$V$2:$V$293,'Master Subtasks'!$S$2:$S$293,"Huynh Thanh Tu",'Master Subtasks'!$X$2:$X$293,$A34)</f>
        <v/>
      </c>
      <c r="C34">
        <f>SUMIFS('Master Subtasks'!$V$2:$V$293,'Master Subtasks'!$S$2:$S$293,"Nguyen Quoc Nam",'Master Subtasks'!$X$2:$X$293,$A34)</f>
        <v/>
      </c>
      <c r="D34">
        <f>SUMIFS('Master Subtasks'!$V$2:$V$293,'Master Subtasks'!$S$2:$S$293,"Nguyen Trung Chinh",'Master Subtasks'!$X$2:$X$293,$A34)</f>
        <v/>
      </c>
      <c r="E34">
        <f>SUMIFS('Master Subtasks'!$V$2:$V$293,'Master Subtasks'!$S$2:$S$293,"Phan Van Viet",'Master Subtasks'!$X$2:$X$293,$A34)</f>
        <v/>
      </c>
      <c r="F34">
        <f>SUMIFS('Master Subtasks'!$V$2:$V$293,'Master Subtasks'!$S$2:$S$293,"Tran Thien An",'Master Subtasks'!$X$2:$X$293,$A34)</f>
        <v/>
      </c>
      <c r="G34">
        <f>SUM(B34:F34)</f>
        <v/>
      </c>
    </row>
    <row r="35">
      <c r="A35" t="inlineStr">
        <is>
          <t>Integration</t>
        </is>
      </c>
      <c r="B35">
        <f>SUMIFS('Master Subtasks'!$V$2:$V$293,'Master Subtasks'!$S$2:$S$293,"Huynh Thanh Tu",'Master Subtasks'!$X$2:$X$293,$A35)</f>
        <v/>
      </c>
      <c r="C35">
        <f>SUMIFS('Master Subtasks'!$V$2:$V$293,'Master Subtasks'!$S$2:$S$293,"Nguyen Quoc Nam",'Master Subtasks'!$X$2:$X$293,$A35)</f>
        <v/>
      </c>
      <c r="D35">
        <f>SUMIFS('Master Subtasks'!$V$2:$V$293,'Master Subtasks'!$S$2:$S$293,"Nguyen Trung Chinh",'Master Subtasks'!$X$2:$X$293,$A35)</f>
        <v/>
      </c>
      <c r="E35">
        <f>SUMIFS('Master Subtasks'!$V$2:$V$293,'Master Subtasks'!$S$2:$S$293,"Phan Van Viet",'Master Subtasks'!$X$2:$X$293,$A35)</f>
        <v/>
      </c>
      <c r="F35">
        <f>SUMIFS('Master Subtasks'!$V$2:$V$293,'Master Subtasks'!$S$2:$S$293,"Tran Thien An",'Master Subtasks'!$X$2:$X$293,$A35)</f>
        <v/>
      </c>
      <c r="G35">
        <f>SUM(B35:F35)</f>
        <v/>
      </c>
    </row>
    <row r="36">
      <c r="A36" t="inlineStr">
        <is>
          <t>Integration / Release</t>
        </is>
      </c>
      <c r="B36">
        <f>SUMIFS('Master Subtasks'!$V$2:$V$293,'Master Subtasks'!$S$2:$S$293,"Huynh Thanh Tu",'Master Subtasks'!$X$2:$X$293,$A36)</f>
        <v/>
      </c>
      <c r="C36">
        <f>SUMIFS('Master Subtasks'!$V$2:$V$293,'Master Subtasks'!$S$2:$S$293,"Nguyen Quoc Nam",'Master Subtasks'!$X$2:$X$293,$A36)</f>
        <v/>
      </c>
      <c r="D36">
        <f>SUMIFS('Master Subtasks'!$V$2:$V$293,'Master Subtasks'!$S$2:$S$293,"Nguyen Trung Chinh",'Master Subtasks'!$X$2:$X$293,$A36)</f>
        <v/>
      </c>
      <c r="E36">
        <f>SUMIFS('Master Subtasks'!$V$2:$V$293,'Master Subtasks'!$S$2:$S$293,"Phan Van Viet",'Master Subtasks'!$X$2:$X$293,$A36)</f>
        <v/>
      </c>
      <c r="F36">
        <f>SUMIFS('Master Subtasks'!$V$2:$V$293,'Master Subtasks'!$S$2:$S$293,"Tran Thien An",'Master Subtasks'!$X$2:$X$293,$A36)</f>
        <v/>
      </c>
      <c r="G36">
        <f>SUM(B36:F36)</f>
        <v/>
      </c>
    </row>
    <row r="37">
      <c r="A37" t="inlineStr">
        <is>
          <t>Operations</t>
        </is>
      </c>
      <c r="B37">
        <f>SUMIFS('Master Subtasks'!$V$2:$V$293,'Master Subtasks'!$S$2:$S$293,"Huynh Thanh Tu",'Master Subtasks'!$X$2:$X$293,$A37)</f>
        <v/>
      </c>
      <c r="C37">
        <f>SUMIFS('Master Subtasks'!$V$2:$V$293,'Master Subtasks'!$S$2:$S$293,"Nguyen Quoc Nam",'Master Subtasks'!$X$2:$X$293,$A37)</f>
        <v/>
      </c>
      <c r="D37">
        <f>SUMIFS('Master Subtasks'!$V$2:$V$293,'Master Subtasks'!$S$2:$S$293,"Nguyen Trung Chinh",'Master Subtasks'!$X$2:$X$293,$A37)</f>
        <v/>
      </c>
      <c r="E37">
        <f>SUMIFS('Master Subtasks'!$V$2:$V$293,'Master Subtasks'!$S$2:$S$293,"Phan Van Viet",'Master Subtasks'!$X$2:$X$293,$A37)</f>
        <v/>
      </c>
      <c r="F37">
        <f>SUMIFS('Master Subtasks'!$V$2:$V$293,'Master Subtasks'!$S$2:$S$293,"Tran Thien An",'Master Subtasks'!$X$2:$X$293,$A37)</f>
        <v/>
      </c>
      <c r="G37">
        <f>SUM(B37:F37)</f>
        <v/>
      </c>
    </row>
    <row r="38">
      <c r="A38" t="inlineStr">
        <is>
          <t>Optional / AI</t>
        </is>
      </c>
      <c r="B38">
        <f>SUMIFS('Master Subtasks'!$V$2:$V$293,'Master Subtasks'!$S$2:$S$293,"Huynh Thanh Tu",'Master Subtasks'!$X$2:$X$293,$A38)</f>
        <v/>
      </c>
      <c r="C38">
        <f>SUMIFS('Master Subtasks'!$V$2:$V$293,'Master Subtasks'!$S$2:$S$293,"Nguyen Quoc Nam",'Master Subtasks'!$X$2:$X$293,$A38)</f>
        <v/>
      </c>
      <c r="D38">
        <f>SUMIFS('Master Subtasks'!$V$2:$V$293,'Master Subtasks'!$S$2:$S$293,"Nguyen Trung Chinh",'Master Subtasks'!$X$2:$X$293,$A38)</f>
        <v/>
      </c>
      <c r="E38">
        <f>SUMIFS('Master Subtasks'!$V$2:$V$293,'Master Subtasks'!$S$2:$S$293,"Phan Van Viet",'Master Subtasks'!$X$2:$X$293,$A38)</f>
        <v/>
      </c>
      <c r="F38">
        <f>SUMIFS('Master Subtasks'!$V$2:$V$293,'Master Subtasks'!$S$2:$S$293,"Tran Thien An",'Master Subtasks'!$X$2:$X$293,$A38)</f>
        <v/>
      </c>
      <c r="G38">
        <f>SUM(B38:F38)</f>
        <v/>
      </c>
    </row>
    <row r="39">
      <c r="A39" t="inlineStr">
        <is>
          <t>Process / Governance</t>
        </is>
      </c>
      <c r="B39">
        <f>SUMIFS('Master Subtasks'!$V$2:$V$293,'Master Subtasks'!$S$2:$S$293,"Huynh Thanh Tu",'Master Subtasks'!$X$2:$X$293,$A39)</f>
        <v/>
      </c>
      <c r="C39">
        <f>SUMIFS('Master Subtasks'!$V$2:$V$293,'Master Subtasks'!$S$2:$S$293,"Nguyen Quoc Nam",'Master Subtasks'!$X$2:$X$293,$A39)</f>
        <v/>
      </c>
      <c r="D39">
        <f>SUMIFS('Master Subtasks'!$V$2:$V$293,'Master Subtasks'!$S$2:$S$293,"Nguyen Trung Chinh",'Master Subtasks'!$X$2:$X$293,$A39)</f>
        <v/>
      </c>
      <c r="E39">
        <f>SUMIFS('Master Subtasks'!$V$2:$V$293,'Master Subtasks'!$S$2:$S$293,"Phan Van Viet",'Master Subtasks'!$X$2:$X$293,$A39)</f>
        <v/>
      </c>
      <c r="F39">
        <f>SUMIFS('Master Subtasks'!$V$2:$V$293,'Master Subtasks'!$S$2:$S$293,"Tran Thien An",'Master Subtasks'!$X$2:$X$293,$A39)</f>
        <v/>
      </c>
      <c r="G39">
        <f>SUM(B39:F39)</f>
        <v/>
      </c>
    </row>
    <row r="40">
      <c r="A40" t="inlineStr">
        <is>
          <t>Quality / Reliability</t>
        </is>
      </c>
      <c r="B40">
        <f>SUMIFS('Master Subtasks'!$V$2:$V$293,'Master Subtasks'!$S$2:$S$293,"Huynh Thanh Tu",'Master Subtasks'!$X$2:$X$293,$A40)</f>
        <v/>
      </c>
      <c r="C40">
        <f>SUMIFS('Master Subtasks'!$V$2:$V$293,'Master Subtasks'!$S$2:$S$293,"Nguyen Quoc Nam",'Master Subtasks'!$X$2:$X$293,$A40)</f>
        <v/>
      </c>
      <c r="D40">
        <f>SUMIFS('Master Subtasks'!$V$2:$V$293,'Master Subtasks'!$S$2:$S$293,"Nguyen Trung Chinh",'Master Subtasks'!$X$2:$X$293,$A40)</f>
        <v/>
      </c>
      <c r="E40">
        <f>SUMIFS('Master Subtasks'!$V$2:$V$293,'Master Subtasks'!$S$2:$S$293,"Phan Van Viet",'Master Subtasks'!$X$2:$X$293,$A40)</f>
        <v/>
      </c>
      <c r="F40">
        <f>SUMIFS('Master Subtasks'!$V$2:$V$293,'Master Subtasks'!$S$2:$S$293,"Tran Thien An",'Master Subtasks'!$X$2:$X$293,$A40)</f>
        <v/>
      </c>
      <c r="G40">
        <f>SUM(B40:F40)</f>
        <v/>
      </c>
    </row>
    <row r="41">
      <c r="A41" t="inlineStr">
        <is>
          <t>Security</t>
        </is>
      </c>
      <c r="B41">
        <f>SUMIFS('Master Subtasks'!$V$2:$V$293,'Master Subtasks'!$S$2:$S$293,"Huynh Thanh Tu",'Master Subtasks'!$X$2:$X$293,$A41)</f>
        <v/>
      </c>
      <c r="C41">
        <f>SUMIFS('Master Subtasks'!$V$2:$V$293,'Master Subtasks'!$S$2:$S$293,"Nguyen Quoc Nam",'Master Subtasks'!$X$2:$X$293,$A41)</f>
        <v/>
      </c>
      <c r="D41">
        <f>SUMIFS('Master Subtasks'!$V$2:$V$293,'Master Subtasks'!$S$2:$S$293,"Nguyen Trung Chinh",'Master Subtasks'!$X$2:$X$293,$A41)</f>
        <v/>
      </c>
      <c r="E41">
        <f>SUMIFS('Master Subtasks'!$V$2:$V$293,'Master Subtasks'!$S$2:$S$293,"Phan Van Viet",'Master Subtasks'!$X$2:$X$293,$A41)</f>
        <v/>
      </c>
      <c r="F41">
        <f>SUMIFS('Master Subtasks'!$V$2:$V$293,'Master Subtasks'!$S$2:$S$293,"Tran Thien An",'Master Subtasks'!$X$2:$X$293,$A41)</f>
        <v/>
      </c>
      <c r="G41">
        <f>SUM(B41:F41)</f>
        <v/>
      </c>
    </row>
    <row r="42">
      <c r="A42" t="inlineStr">
        <is>
          <t>Testing</t>
        </is>
      </c>
      <c r="B42">
        <f>SUMIFS('Master Subtasks'!$V$2:$V$293,'Master Subtasks'!$S$2:$S$293,"Huynh Thanh Tu",'Master Subtasks'!$X$2:$X$293,$A42)</f>
        <v/>
      </c>
      <c r="C42">
        <f>SUMIFS('Master Subtasks'!$V$2:$V$293,'Master Subtasks'!$S$2:$S$293,"Nguyen Quoc Nam",'Master Subtasks'!$X$2:$X$293,$A42)</f>
        <v/>
      </c>
      <c r="D42">
        <f>SUMIFS('Master Subtasks'!$V$2:$V$293,'Master Subtasks'!$S$2:$S$293,"Nguyen Trung Chinh",'Master Subtasks'!$X$2:$X$293,$A42)</f>
        <v/>
      </c>
      <c r="E42">
        <f>SUMIFS('Master Subtasks'!$V$2:$V$293,'Master Subtasks'!$S$2:$S$293,"Phan Van Viet",'Master Subtasks'!$X$2:$X$293,$A42)</f>
        <v/>
      </c>
      <c r="F42">
        <f>SUMIFS('Master Subtasks'!$V$2:$V$293,'Master Subtasks'!$S$2:$S$293,"Tran Thien An",'Master Subtasks'!$X$2:$X$293,$A42)</f>
        <v/>
      </c>
      <c r="G42">
        <f>SUM(B42:F42)</f>
        <v/>
      </c>
    </row>
    <row r="43">
      <c r="A43" t="inlineStr">
        <is>
          <t>UX / UI Design</t>
        </is>
      </c>
      <c r="B43">
        <f>SUMIFS('Master Subtasks'!$V$2:$V$293,'Master Subtasks'!$S$2:$S$293,"Huynh Thanh Tu",'Master Subtasks'!$X$2:$X$293,$A43)</f>
        <v/>
      </c>
      <c r="C43">
        <f>SUMIFS('Master Subtasks'!$V$2:$V$293,'Master Subtasks'!$S$2:$S$293,"Nguyen Quoc Nam",'Master Subtasks'!$X$2:$X$293,$A43)</f>
        <v/>
      </c>
      <c r="D43">
        <f>SUMIFS('Master Subtasks'!$V$2:$V$293,'Master Subtasks'!$S$2:$S$293,"Nguyen Trung Chinh",'Master Subtasks'!$X$2:$X$293,$A43)</f>
        <v/>
      </c>
      <c r="E43">
        <f>SUMIFS('Master Subtasks'!$V$2:$V$293,'Master Subtasks'!$S$2:$S$293,"Phan Van Viet",'Master Subtasks'!$X$2:$X$293,$A43)</f>
        <v/>
      </c>
      <c r="F43">
        <f>SUMIFS('Master Subtasks'!$V$2:$V$293,'Master Subtasks'!$S$2:$S$293,"Tran Thien An",'Master Subtasks'!$X$2:$X$293,$A43)</f>
        <v/>
      </c>
      <c r="G43">
        <f>SUM(B43:F43)</f>
        <v/>
      </c>
    </row>
  </sheetData>
  <autoFilter ref="A1:K7"/>
  <conditionalFormatting sqref="D2:H6">
    <cfRule type="cellIs" priority="1" operator="greaterThan" dxfId="0">
      <formula>20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0" customWidth="1" min="3" max="3"/>
    <col width="22" customWidth="1" min="4" max="4"/>
    <col width="100" customWidth="1" min="5" max="5"/>
    <col width="85" customWidth="1" min="6" max="6"/>
    <col width="16" customWidth="1" min="7" max="7"/>
    <col width="18" customWidth="1" min="8" max="8"/>
    <col width="15" customWidth="1" min="9" max="9"/>
    <col width="15" customWidth="1" min="10" max="10"/>
    <col width="110" customWidth="1" min="11" max="11"/>
    <col width="16" customWidth="1" min="12" max="12"/>
  </cols>
  <sheetData>
    <row r="1" ht="34" customHeight="1">
      <c r="A1" s="1" t="inlineStr">
        <is>
          <t>Phase ID</t>
        </is>
      </c>
      <c r="B1" s="1" t="inlineStr">
        <is>
          <t>Phase Name</t>
        </is>
      </c>
      <c r="C1" s="1" t="inlineStr">
        <is>
          <t>Objective</t>
        </is>
      </c>
      <c r="D1" s="1" t="inlineStr">
        <is>
          <t>Sprint Range</t>
        </is>
      </c>
      <c r="E1" s="1" t="inlineStr">
        <is>
          <t>Task IDs</t>
        </is>
      </c>
      <c r="F1" s="1" t="inlineStr">
        <is>
          <t>Primary Task Owners</t>
        </is>
      </c>
      <c r="G1" s="1" t="inlineStr">
        <is>
          <t>Sub-task Count</t>
        </is>
      </c>
      <c r="H1" s="1" t="inlineStr">
        <is>
          <t>Total Effort (SP)</t>
        </is>
      </c>
      <c r="I1" s="1" t="inlineStr">
        <is>
          <t>Start Date</t>
        </is>
      </c>
      <c r="J1" s="1" t="inlineStr">
        <is>
          <t>Due Date</t>
        </is>
      </c>
      <c r="K1" s="1" t="inlineStr">
        <is>
          <t>Key Deliverables</t>
        </is>
      </c>
      <c r="L1" s="1" t="inlineStr">
        <is>
          <t>Initial Status</t>
        </is>
      </c>
    </row>
    <row r="2">
      <c r="A2" s="2" t="inlineStr">
        <is>
          <t>PH-01</t>
        </is>
      </c>
      <c r="B2" s="2" t="inlineStr">
        <is>
          <t>Discovery &amp; PA1</t>
        </is>
      </c>
      <c r="C2" s="2" t="inlineStr">
        <is>
          <t>Chốt phạm vi, actor, yêu cầu ban đầu, quy tắc cộng tác và tài liệu PA1.</t>
        </is>
      </c>
      <c r="D2" s="2" t="inlineStr">
        <is>
          <t>Sprint 1–Sprint 1</t>
        </is>
      </c>
      <c r="E2" s="2" t="inlineStr">
        <is>
          <t>CIN-T-001, CIN-T-002, CIN-T-003, CIN-T-012, CIN-T-047</t>
        </is>
      </c>
      <c r="F2" s="2" t="inlineStr">
        <is>
          <t>Nguyen Trung Chinh, Nguyen Quoc Nam, Tran Thien An</t>
        </is>
      </c>
      <c r="G2" s="2">
        <f>COUNTIF('Master Subtasks'!$J$2:$J$293,A2)</f>
        <v/>
      </c>
      <c r="H2" s="2">
        <f>SUMIFS('Master Subtasks'!$V$2:$V$293,'Master Subtasks'!$J$2:$J$293,A2)</f>
        <v/>
      </c>
      <c r="I2" s="3" t="n">
        <v>46298</v>
      </c>
      <c r="J2" s="3" t="n">
        <v>46311</v>
      </c>
      <c r="K2" s="2" t="inlineStr">
        <is>
          <t>Chốt phạm vi hệ thống và tác nhân; Đặc tả luồng nghiệp vụ khách hàng và quản trị; Baseline yêu cầu, use case và kiến trúc sơ bộ; Thiết lập quy tắc cộng tác và cấu trúc repository; Soạn tổng quan và phân tích nghiệp vụ cho PA1</t>
        </is>
      </c>
      <c r="L2" s="2" t="inlineStr">
        <is>
          <t>Planned</t>
        </is>
      </c>
    </row>
    <row r="3">
      <c r="A3" s="2" t="inlineStr">
        <is>
          <t>PH-02</t>
        </is>
      </c>
      <c r="B3" s="2" t="inlineStr">
        <is>
          <t>Solution Design &amp; Foundations</t>
        </is>
      </c>
      <c r="C3" s="2" t="inlineStr">
        <is>
          <t>Hoàn thiện thiết kế dữ liệu, trải nghiệm, API và môi trường; khóa baseline thiết kế chi tiết.</t>
        </is>
      </c>
      <c r="D3" s="2" t="inlineStr">
        <is>
          <t>Sprint 2–Sprint 3</t>
        </is>
      </c>
      <c r="E3" s="2" t="inlineStr">
        <is>
          <t>CIN-T-004, CIN-T-005, CIN-T-006, CIN-T-007, CIN-T-008, CIN-T-009, CIN-T-010, CIN-T-011, CIN-T-014, CIN-T-037, CIN-T-042, CIN-T-048</t>
        </is>
      </c>
      <c r="F3" s="2" t="inlineStr">
        <is>
          <t>Huynh Thanh Tu, Nguyen Trung Chinh, Phan Van Viet, Tran Thien An</t>
        </is>
      </c>
      <c r="G3" s="2">
        <f>COUNTIF('Master Subtasks'!$J$2:$J$293,A3)</f>
        <v/>
      </c>
      <c r="H3" s="2">
        <f>SUMIFS('Master Subtasks'!$V$2:$V$293,'Master Subtasks'!$J$2:$J$293,A3)</f>
        <v/>
      </c>
      <c r="I3" s="3" t="n">
        <v>46312</v>
      </c>
      <c r="J3" s="3" t="n">
        <v>46339</v>
      </c>
      <c r="K3" s="2" t="inlineStr">
        <is>
          <t>Thiết kế dữ liệu phim, phòng, ghế và suất chiếu; Thiết kế dữ liệu booking, ticket, payment và user; Xác định quan hệ, ràng buộc và tính toàn vẹn dữ liệu; Hoàn tất ERD và relational schema; Thiết kế luồng, màn hình và điều hướng Customer; Đặc tả các màn hình Customer; Xác định component, UI state, dữ liệu và responsive behavior; Chốt API contract và chính sách truy cập; Định nghĩa REST API và DTO foundation; Chuẩn hóa môi trường phát triển local; Tạo README và tài liệu kiến trúc/database ban đầu; Soạn phần thiết kế hệ thống và database</t>
        </is>
      </c>
      <c r="L3" s="2" t="inlineStr">
        <is>
          <t>Planned</t>
        </is>
      </c>
    </row>
    <row r="4">
      <c r="A4" s="2" t="inlineStr">
        <is>
          <t>PH-03</t>
        </is>
      </c>
      <c r="B4" s="2" t="inlineStr">
        <is>
          <t>Core Product Build</t>
        </is>
      </c>
      <c r="C4" s="2" t="inlineStr">
        <is>
          <t>Xây nền tảng và luồng khách hàng cốt lõi, thanh toán mô phỏng, phát hành vé và kiểm thử tích hợp.</t>
        </is>
      </c>
      <c r="D4" s="2" t="inlineStr">
        <is>
          <t>Sprint 3–Sprint 4</t>
        </is>
      </c>
      <c r="E4" s="2" t="inlineStr">
        <is>
          <t>CIN-T-013, CIN-T-015, CIN-T-016, CIN-T-018, CIN-T-019, CIN-T-020, CIN-T-021, CIN-T-022, CIN-T-023, CIN-T-024, CIN-T-025, CIN-T-026, CIN-T-027, CIN-T-032, CIN-T-033, CIN-T-035, CIN-T-043</t>
        </is>
      </c>
      <c r="F4" s="2" t="inlineStr">
        <is>
          <t>Nguyen Trung Chinh, Tran Thien An, Huynh Thanh Tu, Phan Van Viet, Nguyen Quoc Nam</t>
        </is>
      </c>
      <c r="G4" s="2">
        <f>COUNTIF('Master Subtasks'!$J$2:$J$293,A4)</f>
        <v/>
      </c>
      <c r="H4" s="2">
        <f>SUMIFS('Master Subtasks'!$V$2:$V$293,'Master Subtasks'!$J$2:$J$293,A4)</f>
        <v/>
      </c>
      <c r="I4" s="3" t="n">
        <v>46326</v>
      </c>
      <c r="J4" s="3" t="n">
        <v>46353</v>
      </c>
      <c r="K4" s="2" t="inlineStr">
        <is>
          <t>Xây persistence và khởi tạo database bằng EF Core; Triển khai API phim, rạp, ghế, vé và lịch chiếu; Triển khai API booking, ticket và payment; Chuẩn hóa API response và tài liệu OpenAPI; Triển khai đăng ký, đăng nhập và phân quyền; Xây nghiệp vụ quản lý phim, phòng, ghế và loại vé; Xây nghiệp vụ suất chiếu và kiểm tra lịch; Triển khai chọn ghế, giữ chỗ và tạo booking an toàn; Triển khai thanh toán mô phỏng và trạng thái giao dịch; Phát hành, tạo mã/QR và xác thực vé; Xây giao diện xem phim và chọn suất chiếu; Xây giao diện ghế, thanh toán và tài khoản; Tích hợp frontend với API thật; Chuẩn hóa validation và xử lý lỗi backend/frontend; Áp dụng bảo vệ tài khoản, API, input và secrets; Kiểm thử unit, integration và luồng đặt vé cốt lõi; Hoàn thiện API và environment documentation</t>
        </is>
      </c>
      <c r="L4" s="2" t="inlineStr">
        <is>
          <t>Planned</t>
        </is>
      </c>
    </row>
    <row r="5">
      <c r="A5" s="2" t="inlineStr">
        <is>
          <t>PH-04</t>
        </is>
      </c>
      <c r="B5" s="2" t="inlineStr">
        <is>
          <t>Release, Verification &amp; Handover</t>
        </is>
      </c>
      <c r="C5" s="2" t="inlineStr">
        <is>
          <t>Hoàn thiện quản trị, hồi quy, triển khai demo, tài liệu, báo cáo và bàn giao PA5.</t>
        </is>
      </c>
      <c r="D5" s="2" t="inlineStr">
        <is>
          <t>Sprint 5–Sprint 5</t>
        </is>
      </c>
      <c r="E5" s="2" t="inlineStr">
        <is>
          <t>CIN-T-017, CIN-T-028, CIN-T-029, CIN-T-030, CIN-T-031, CIN-T-034, CIN-T-036, CIN-T-038, CIN-T-039, CIN-T-040, CIN-T-041, CIN-T-044, CIN-T-045, CIN-T-046, CIN-T-049, CIN-T-050</t>
        </is>
      </c>
      <c r="F5" s="2" t="inlineStr">
        <is>
          <t>Tran Thien An, Phan Van Viet, Huynh Thanh Tu, Nguyen Trung Chinh, Nguyen Quoc Nam</t>
        </is>
      </c>
      <c r="G5" s="2">
        <f>COUNTIF('Master Subtasks'!$J$2:$J$293,A5)</f>
        <v/>
      </c>
      <c r="H5" s="2">
        <f>SUMIFS('Master Subtasks'!$V$2:$V$293,'Master Subtasks'!$J$2:$J$293,A5)</f>
        <v/>
      </c>
      <c r="I5" s="3" t="n">
        <v>46354</v>
      </c>
      <c r="J5" s="3" t="n">
        <v>46368</v>
      </c>
      <c r="K5" s="2" t="inlineStr">
        <is>
          <t>Triển khai API user và statistics cơ bản; Xây giao diện quản trị và nhân viên tối thiểu; Bổ sung tìm kiếm và bộ lọc cần thiết; Xây báo cáo cơ bản và đánh giá export; Đánh giá và triển khai AI movie assistant tùy chọn; Đánh giá security headers nâng cao; Chạy kiểm thử hồi quy trước khi bàn giao; Tự động hóa build, test và kiểm tra chất lượng; Chuẩn bị và xác minh môi trường triển khai demo; Hoàn thiện hosting và xác nhận triển khai; Đánh giá logging, health, backup và vận hành; Hoàn thiện hướng dẫn triển khai và sử dụng; Tích hợp toàn hệ thống và xử lý lỗi release; Chuẩn bị dữ liệu, tài khoản và kịch bản demo; Hoàn thiện chương kỹ thuật và triển khai trong báo cáo; Hoàn thiện đánh giá, slide và phân công thuyết trình</t>
        </is>
      </c>
      <c r="L5" s="2" t="inlineStr">
        <is>
          <t>Planned</t>
        </is>
      </c>
    </row>
  </sheetData>
  <autoFilter ref="A1:L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35" customWidth="1" min="3" max="3"/>
    <col width="28" customWidth="1" min="4" max="4"/>
    <col width="42" customWidth="1" min="5" max="5"/>
    <col width="92" customWidth="1" min="6" max="6"/>
    <col width="18" customWidth="1" min="7" max="7"/>
    <col width="92" customWidth="1" min="8" max="8"/>
  </cols>
  <sheetData>
    <row r="1" ht="34" customHeight="1">
      <c r="A1" s="1" t="inlineStr">
        <is>
          <t>Record Type</t>
        </is>
      </c>
      <c r="B1" s="1" t="inlineStr">
        <is>
          <t>ID</t>
        </is>
      </c>
      <c r="C1" s="1" t="inlineStr">
        <is>
          <t>Predecessor / Date</t>
        </is>
      </c>
      <c r="D1" s="1" t="inlineStr">
        <is>
          <t>Successor / Sprint</t>
        </is>
      </c>
      <c r="E1" s="1" t="inlineStr">
        <is>
          <t>Relationship / Name</t>
        </is>
      </c>
      <c r="F1" s="1" t="inlineStr">
        <is>
          <t>Details / Deliverable</t>
        </is>
      </c>
      <c r="G1" s="1" t="inlineStr">
        <is>
          <t>Status</t>
        </is>
      </c>
      <c r="H1" s="1" t="inlineStr">
        <is>
          <t>Issue / Action</t>
        </is>
      </c>
    </row>
    <row r="2">
      <c r="A2" s="2" t="inlineStr">
        <is>
          <t>Dependency</t>
        </is>
      </c>
      <c r="B2" s="2" t="inlineStr">
        <is>
          <t>DEP-CIN-T-001-CIN-T-002</t>
        </is>
      </c>
      <c r="C2" s="2" t="inlineStr">
        <is>
          <t>CIN-T-001</t>
        </is>
      </c>
      <c r="D2" s="2" t="inlineStr">
        <is>
          <t>CIN-T-002</t>
        </is>
      </c>
      <c r="E2" s="2" t="inlineStr">
        <is>
          <t>Blocks / prerequisite</t>
        </is>
      </c>
      <c r="F2" s="2" t="inlineStr">
        <is>
          <t>Chốt phạm vi hệ thống và tác nhân must produce its output for Đặc tả luồng nghiệp vụ khách hàng và quản trị.</t>
        </is>
      </c>
      <c r="G2" s="2" t="inlineStr">
        <is>
          <t>Planned</t>
        </is>
      </c>
      <c r="H2" s="2" t="inlineStr">
        <is>
          <t>Review same-sprint predecessor ordering during refinement.</t>
        </is>
      </c>
    </row>
    <row r="3">
      <c r="A3" s="2" t="inlineStr">
        <is>
          <t>Dependency</t>
        </is>
      </c>
      <c r="B3" s="2" t="inlineStr">
        <is>
          <t>DEP-CIN-T-002-CIN-T-003</t>
        </is>
      </c>
      <c r="C3" s="2" t="inlineStr">
        <is>
          <t>CIN-T-002</t>
        </is>
      </c>
      <c r="D3" s="2" t="inlineStr">
        <is>
          <t>CIN-T-003</t>
        </is>
      </c>
      <c r="E3" s="2" t="inlineStr">
        <is>
          <t>Blocks / prerequisite</t>
        </is>
      </c>
      <c r="F3" s="2" t="inlineStr">
        <is>
          <t>Đặc tả luồng nghiệp vụ khách hàng và quản trị must produce its output for Baseline yêu cầu, use case và kiến trúc sơ bộ.</t>
        </is>
      </c>
      <c r="G3" s="2" t="inlineStr">
        <is>
          <t>Planned</t>
        </is>
      </c>
      <c r="H3" s="2" t="inlineStr">
        <is>
          <t>Review same-sprint predecessor ordering during refinement.</t>
        </is>
      </c>
    </row>
    <row r="4">
      <c r="A4" s="2" t="inlineStr">
        <is>
          <t>Dependency</t>
        </is>
      </c>
      <c r="B4" s="2" t="inlineStr">
        <is>
          <t>DEP-CIN-T-003-CIN-T-004</t>
        </is>
      </c>
      <c r="C4" s="2" t="inlineStr">
        <is>
          <t>CIN-T-003</t>
        </is>
      </c>
      <c r="D4" s="2" t="inlineStr">
        <is>
          <t>CIN-T-004</t>
        </is>
      </c>
      <c r="E4" s="2" t="inlineStr">
        <is>
          <t>Blocks / prerequisite</t>
        </is>
      </c>
      <c r="F4" s="2" t="inlineStr">
        <is>
          <t>Baseline yêu cầu, use case và kiến trúc sơ bộ must produce its output for Thiết kế dữ liệu phim, phòng, ghế và suất chiếu.</t>
        </is>
      </c>
      <c r="G4" s="2" t="inlineStr">
        <is>
          <t>Planned</t>
        </is>
      </c>
      <c r="H4" s="2" t="inlineStr">
        <is>
          <t>Review same-sprint predecessor ordering during refinement.</t>
        </is>
      </c>
    </row>
    <row r="5">
      <c r="A5" s="2" t="inlineStr">
        <is>
          <t>Dependency</t>
        </is>
      </c>
      <c r="B5" s="2" t="inlineStr">
        <is>
          <t>DEP-CIN-T-004-CIN-T-005</t>
        </is>
      </c>
      <c r="C5" s="2" t="inlineStr">
        <is>
          <t>CIN-T-004</t>
        </is>
      </c>
      <c r="D5" s="2" t="inlineStr">
        <is>
          <t>CIN-T-005</t>
        </is>
      </c>
      <c r="E5" s="2" t="inlineStr">
        <is>
          <t>Blocks / prerequisite</t>
        </is>
      </c>
      <c r="F5" s="2" t="inlineStr">
        <is>
          <t>Thiết kế dữ liệu phim, phòng, ghế và suất chiếu must produce its output for Thiết kế dữ liệu booking, ticket, payment và user.</t>
        </is>
      </c>
      <c r="G5" s="2" t="inlineStr">
        <is>
          <t>Planned</t>
        </is>
      </c>
      <c r="H5" s="2" t="inlineStr">
        <is>
          <t>Review same-sprint predecessor ordering during refinement.</t>
        </is>
      </c>
    </row>
    <row r="6">
      <c r="A6" s="2" t="inlineStr">
        <is>
          <t>Dependency</t>
        </is>
      </c>
      <c r="B6" s="2" t="inlineStr">
        <is>
          <t>DEP-CIN-T-005-CIN-T-006</t>
        </is>
      </c>
      <c r="C6" s="2" t="inlineStr">
        <is>
          <t>CIN-T-005</t>
        </is>
      </c>
      <c r="D6" s="2" t="inlineStr">
        <is>
          <t>CIN-T-006</t>
        </is>
      </c>
      <c r="E6" s="2" t="inlineStr">
        <is>
          <t>Blocks / prerequisite</t>
        </is>
      </c>
      <c r="F6" s="2" t="inlineStr">
        <is>
          <t>Thiết kế dữ liệu booking, ticket, payment và user must produce its output for Xác định quan hệ, ràng buộc và tính toàn vẹn dữ liệu.</t>
        </is>
      </c>
      <c r="G6" s="2" t="inlineStr">
        <is>
          <t>Planned</t>
        </is>
      </c>
      <c r="H6" s="2" t="inlineStr">
        <is>
          <t>Review same-sprint predecessor ordering during refinement.</t>
        </is>
      </c>
    </row>
    <row r="7">
      <c r="A7" s="2" t="inlineStr">
        <is>
          <t>Dependency</t>
        </is>
      </c>
      <c r="B7" s="2" t="inlineStr">
        <is>
          <t>DEP-CIN-T-006-CIN-T-007</t>
        </is>
      </c>
      <c r="C7" s="2" t="inlineStr">
        <is>
          <t>CIN-T-006</t>
        </is>
      </c>
      <c r="D7" s="2" t="inlineStr">
        <is>
          <t>CIN-T-007</t>
        </is>
      </c>
      <c r="E7" s="2" t="inlineStr">
        <is>
          <t>Blocks / prerequisite</t>
        </is>
      </c>
      <c r="F7" s="2" t="inlineStr">
        <is>
          <t>Xác định quan hệ, ràng buộc và tính toàn vẹn dữ liệu must produce its output for Hoàn tất ERD và relational schema.</t>
        </is>
      </c>
      <c r="G7" s="2" t="inlineStr">
        <is>
          <t>Planned</t>
        </is>
      </c>
      <c r="H7" s="2" t="inlineStr">
        <is>
          <t>Review same-sprint predecessor ordering during refinement.</t>
        </is>
      </c>
    </row>
    <row r="8">
      <c r="A8" s="2" t="inlineStr">
        <is>
          <t>Dependency</t>
        </is>
      </c>
      <c r="B8" s="2" t="inlineStr">
        <is>
          <t>DEP-CIN-T-003-CIN-T-008</t>
        </is>
      </c>
      <c r="C8" s="2" t="inlineStr">
        <is>
          <t>CIN-T-003</t>
        </is>
      </c>
      <c r="D8" s="2" t="inlineStr">
        <is>
          <t>CIN-T-008</t>
        </is>
      </c>
      <c r="E8" s="2" t="inlineStr">
        <is>
          <t>Blocks / prerequisite</t>
        </is>
      </c>
      <c r="F8" s="2" t="inlineStr">
        <is>
          <t>Baseline yêu cầu, use case và kiến trúc sơ bộ must produce its output for Thiết kế luồng, màn hình và điều hướng Customer.</t>
        </is>
      </c>
      <c r="G8" s="2" t="inlineStr">
        <is>
          <t>Planned</t>
        </is>
      </c>
      <c r="H8" s="2" t="inlineStr">
        <is>
          <t>Review same-sprint predecessor ordering during refinement.</t>
        </is>
      </c>
    </row>
    <row r="9">
      <c r="A9" s="2" t="inlineStr">
        <is>
          <t>Dependency</t>
        </is>
      </c>
      <c r="B9" s="2" t="inlineStr">
        <is>
          <t>DEP-CIN-T-008-CIN-T-009</t>
        </is>
      </c>
      <c r="C9" s="2" t="inlineStr">
        <is>
          <t>CIN-T-008</t>
        </is>
      </c>
      <c r="D9" s="2" t="inlineStr">
        <is>
          <t>CIN-T-009</t>
        </is>
      </c>
      <c r="E9" s="2" t="inlineStr">
        <is>
          <t>Blocks / prerequisite</t>
        </is>
      </c>
      <c r="F9" s="2" t="inlineStr">
        <is>
          <t>Thiết kế luồng, màn hình và điều hướng Customer must produce its output for Đặc tả các màn hình Customer.</t>
        </is>
      </c>
      <c r="G9" s="2" t="inlineStr">
        <is>
          <t>Planned</t>
        </is>
      </c>
      <c r="H9" s="2" t="inlineStr">
        <is>
          <t>Review same-sprint predecessor ordering during refinement.</t>
        </is>
      </c>
    </row>
    <row r="10">
      <c r="A10" s="2" t="inlineStr">
        <is>
          <t>Dependency</t>
        </is>
      </c>
      <c r="B10" s="2" t="inlineStr">
        <is>
          <t>DEP-CIN-T-009-CIN-T-010</t>
        </is>
      </c>
      <c r="C10" s="2" t="inlineStr">
        <is>
          <t>CIN-T-009</t>
        </is>
      </c>
      <c r="D10" s="2" t="inlineStr">
        <is>
          <t>CIN-T-010</t>
        </is>
      </c>
      <c r="E10" s="2" t="inlineStr">
        <is>
          <t>Blocks / prerequisite</t>
        </is>
      </c>
      <c r="F10" s="2" t="inlineStr">
        <is>
          <t>Đặc tả các màn hình Customer must produce its output for Xác định component, UI state, dữ liệu và responsive behavior.</t>
        </is>
      </c>
      <c r="G10" s="2" t="inlineStr">
        <is>
          <t>Planned</t>
        </is>
      </c>
      <c r="H10" s="2" t="inlineStr">
        <is>
          <t>Review same-sprint predecessor ordering during refinement.</t>
        </is>
      </c>
    </row>
    <row r="11">
      <c r="A11" s="2" t="inlineStr">
        <is>
          <t>Dependency</t>
        </is>
      </c>
      <c r="B11" s="2" t="inlineStr">
        <is>
          <t>DEP-CIN-T-007-CIN-T-011</t>
        </is>
      </c>
      <c r="C11" s="2" t="inlineStr">
        <is>
          <t>CIN-T-007</t>
        </is>
      </c>
      <c r="D11" s="2" t="inlineStr">
        <is>
          <t>CIN-T-011</t>
        </is>
      </c>
      <c r="E11" s="2" t="inlineStr">
        <is>
          <t>Blocks / prerequisite</t>
        </is>
      </c>
      <c r="F11" s="2" t="inlineStr">
        <is>
          <t>Hoàn tất ERD và relational schema must produce its output for Chốt API contract và chính sách truy cập.</t>
        </is>
      </c>
      <c r="G11" s="2" t="inlineStr">
        <is>
          <t>Planned</t>
        </is>
      </c>
      <c r="H11" s="2" t="inlineStr">
        <is>
          <t>Review same-sprint predecessor ordering during refinement.</t>
        </is>
      </c>
    </row>
    <row r="12">
      <c r="A12" s="2" t="inlineStr">
        <is>
          <t>Dependency</t>
        </is>
      </c>
      <c r="B12" s="2" t="inlineStr">
        <is>
          <t>DEP-CIN-T-003-CIN-T-011</t>
        </is>
      </c>
      <c r="C12" s="2" t="inlineStr">
        <is>
          <t>CIN-T-003</t>
        </is>
      </c>
      <c r="D12" s="2" t="inlineStr">
        <is>
          <t>CIN-T-011</t>
        </is>
      </c>
      <c r="E12" s="2" t="inlineStr">
        <is>
          <t>Blocks / prerequisite</t>
        </is>
      </c>
      <c r="F12" s="2" t="inlineStr">
        <is>
          <t>Baseline yêu cầu, use case và kiến trúc sơ bộ must produce its output for Chốt API contract và chính sách truy cập.</t>
        </is>
      </c>
      <c r="G12" s="2" t="inlineStr">
        <is>
          <t>Planned</t>
        </is>
      </c>
      <c r="H12" s="2" t="inlineStr">
        <is>
          <t>Review same-sprint predecessor ordering during refinement.</t>
        </is>
      </c>
    </row>
    <row r="13">
      <c r="A13" s="2" t="inlineStr">
        <is>
          <t>Dependency</t>
        </is>
      </c>
      <c r="B13" s="2" t="inlineStr">
        <is>
          <t>DEP-CIN-T-007-CIN-T-013</t>
        </is>
      </c>
      <c r="C13" s="2" t="inlineStr">
        <is>
          <t>CIN-T-007</t>
        </is>
      </c>
      <c r="D13" s="2" t="inlineStr">
        <is>
          <t>CIN-T-013</t>
        </is>
      </c>
      <c r="E13" s="2" t="inlineStr">
        <is>
          <t>Blocks / prerequisite</t>
        </is>
      </c>
      <c r="F13" s="2" t="inlineStr">
        <is>
          <t>Hoàn tất ERD và relational schema must produce its output for Xây persistence và khởi tạo database bằng EF Core.</t>
        </is>
      </c>
      <c r="G13" s="2" t="inlineStr">
        <is>
          <t>Planned</t>
        </is>
      </c>
      <c r="H13" s="2" t="inlineStr">
        <is>
          <t>Review same-sprint predecessor ordering during refinement.</t>
        </is>
      </c>
    </row>
    <row r="14">
      <c r="A14" s="2" t="inlineStr">
        <is>
          <t>Dependency</t>
        </is>
      </c>
      <c r="B14" s="2" t="inlineStr">
        <is>
          <t>DEP-CIN-T-037-CIN-T-013</t>
        </is>
      </c>
      <c r="C14" s="2" t="inlineStr">
        <is>
          <t>CIN-T-037</t>
        </is>
      </c>
      <c r="D14" s="2" t="inlineStr">
        <is>
          <t>CIN-T-013</t>
        </is>
      </c>
      <c r="E14" s="2" t="inlineStr">
        <is>
          <t>Blocks / prerequisite</t>
        </is>
      </c>
      <c r="F14" s="2" t="inlineStr">
        <is>
          <t>Chuẩn hóa môi trường phát triển local must produce its output for Xây persistence và khởi tạo database bằng EF Core.</t>
        </is>
      </c>
      <c r="G14" s="2" t="inlineStr">
        <is>
          <t>Planned</t>
        </is>
      </c>
      <c r="H14" s="2" t="inlineStr">
        <is>
          <t>Review same-sprint predecessor ordering during refinement.</t>
        </is>
      </c>
    </row>
    <row r="15">
      <c r="A15" s="2" t="inlineStr">
        <is>
          <t>Dependency</t>
        </is>
      </c>
      <c r="B15" s="2" t="inlineStr">
        <is>
          <t>DEP-CIN-T-011-CIN-T-014</t>
        </is>
      </c>
      <c r="C15" s="2" t="inlineStr">
        <is>
          <t>CIN-T-011</t>
        </is>
      </c>
      <c r="D15" s="2" t="inlineStr">
        <is>
          <t>CIN-T-014</t>
        </is>
      </c>
      <c r="E15" s="2" t="inlineStr">
        <is>
          <t>Blocks / prerequisite</t>
        </is>
      </c>
      <c r="F15" s="2" t="inlineStr">
        <is>
          <t>Chốt API contract và chính sách truy cập must produce its output for Định nghĩa REST API và DTO foundation.</t>
        </is>
      </c>
      <c r="G15" s="2" t="inlineStr">
        <is>
          <t>Planned</t>
        </is>
      </c>
      <c r="H15" s="2" t="inlineStr">
        <is>
          <t>Review same-sprint predecessor ordering during refinement.</t>
        </is>
      </c>
    </row>
    <row r="16">
      <c r="A16" s="2" t="inlineStr">
        <is>
          <t>Dependency</t>
        </is>
      </c>
      <c r="B16" s="2" t="inlineStr">
        <is>
          <t>DEP-CIN-T-007-CIN-T-014</t>
        </is>
      </c>
      <c r="C16" s="2" t="inlineStr">
        <is>
          <t>CIN-T-007</t>
        </is>
      </c>
      <c r="D16" s="2" t="inlineStr">
        <is>
          <t>CIN-T-014</t>
        </is>
      </c>
      <c r="E16" s="2" t="inlineStr">
        <is>
          <t>Blocks / prerequisite</t>
        </is>
      </c>
      <c r="F16" s="2" t="inlineStr">
        <is>
          <t>Hoàn tất ERD và relational schema must produce its output for Định nghĩa REST API và DTO foundation.</t>
        </is>
      </c>
      <c r="G16" s="2" t="inlineStr">
        <is>
          <t>Planned</t>
        </is>
      </c>
      <c r="H16" s="2" t="inlineStr">
        <is>
          <t>Review same-sprint predecessor ordering during refinement.</t>
        </is>
      </c>
    </row>
    <row r="17">
      <c r="A17" s="2" t="inlineStr">
        <is>
          <t>Dependency</t>
        </is>
      </c>
      <c r="B17" s="2" t="inlineStr">
        <is>
          <t>DEP-CIN-T-013-CIN-T-015</t>
        </is>
      </c>
      <c r="C17" s="2" t="inlineStr">
        <is>
          <t>CIN-T-013</t>
        </is>
      </c>
      <c r="D17" s="2" t="inlineStr">
        <is>
          <t>CIN-T-015</t>
        </is>
      </c>
      <c r="E17" s="2" t="inlineStr">
        <is>
          <t>Blocks / prerequisite</t>
        </is>
      </c>
      <c r="F17" s="2" t="inlineStr">
        <is>
          <t>Xây persistence và khởi tạo database bằng EF Core must produce its output for Triển khai API phim, rạp, ghế, vé và lịch chiếu.</t>
        </is>
      </c>
      <c r="G17" s="2" t="inlineStr">
        <is>
          <t>Planned</t>
        </is>
      </c>
      <c r="H17" s="2" t="inlineStr">
        <is>
          <t>Review same-sprint predecessor ordering during refinement.</t>
        </is>
      </c>
    </row>
    <row r="18">
      <c r="A18" s="2" t="inlineStr">
        <is>
          <t>Dependency</t>
        </is>
      </c>
      <c r="B18" s="2" t="inlineStr">
        <is>
          <t>DEP-CIN-T-014-CIN-T-015</t>
        </is>
      </c>
      <c r="C18" s="2" t="inlineStr">
        <is>
          <t>CIN-T-014</t>
        </is>
      </c>
      <c r="D18" s="2" t="inlineStr">
        <is>
          <t>CIN-T-015</t>
        </is>
      </c>
      <c r="E18" s="2" t="inlineStr">
        <is>
          <t>Blocks / prerequisite</t>
        </is>
      </c>
      <c r="F18" s="2" t="inlineStr">
        <is>
          <t>Định nghĩa REST API và DTO foundation must produce its output for Triển khai API phim, rạp, ghế, vé và lịch chiếu.</t>
        </is>
      </c>
      <c r="G18" s="2" t="inlineStr">
        <is>
          <t>Planned</t>
        </is>
      </c>
      <c r="H18" s="2" t="inlineStr">
        <is>
          <t>Review same-sprint predecessor ordering during refinement.</t>
        </is>
      </c>
    </row>
    <row r="19">
      <c r="A19" s="2" t="inlineStr">
        <is>
          <t>Dependency</t>
        </is>
      </c>
      <c r="B19" s="2" t="inlineStr">
        <is>
          <t>DEP-CIN-T-015-CIN-T-016</t>
        </is>
      </c>
      <c r="C19" s="2" t="inlineStr">
        <is>
          <t>CIN-T-015</t>
        </is>
      </c>
      <c r="D19" s="2" t="inlineStr">
        <is>
          <t>CIN-T-016</t>
        </is>
      </c>
      <c r="E19" s="2" t="inlineStr">
        <is>
          <t>Blocks / prerequisite</t>
        </is>
      </c>
      <c r="F19" s="2" t="inlineStr">
        <is>
          <t>Triển khai API phim, rạp, ghế, vé và lịch chiếu must produce its output for Triển khai API booking, ticket và payment.</t>
        </is>
      </c>
      <c r="G19" s="2" t="inlineStr">
        <is>
          <t>Planned</t>
        </is>
      </c>
      <c r="H19" s="2" t="inlineStr">
        <is>
          <t>Review same-sprint predecessor ordering during refinement.</t>
        </is>
      </c>
    </row>
    <row r="20">
      <c r="A20" s="2" t="inlineStr">
        <is>
          <t>Dependency</t>
        </is>
      </c>
      <c r="B20" s="2" t="inlineStr">
        <is>
          <t>DEP-CIN-T-022-CIN-T-016</t>
        </is>
      </c>
      <c r="C20" s="2" t="inlineStr">
        <is>
          <t>CIN-T-022</t>
        </is>
      </c>
      <c r="D20" s="2" t="inlineStr">
        <is>
          <t>CIN-T-016</t>
        </is>
      </c>
      <c r="E20" s="2" t="inlineStr">
        <is>
          <t>Blocks / prerequisite</t>
        </is>
      </c>
      <c r="F20" s="2" t="inlineStr">
        <is>
          <t>Triển khai chọn ghế, giữ chỗ và tạo booking an toàn must produce its output for Triển khai API booking, ticket và payment.</t>
        </is>
      </c>
      <c r="G20" s="2" t="inlineStr">
        <is>
          <t>Planned</t>
        </is>
      </c>
      <c r="H20" s="2" t="inlineStr">
        <is>
          <t>Review same-sprint predecessor ordering during refinement.</t>
        </is>
      </c>
    </row>
    <row r="21">
      <c r="A21" s="2" t="inlineStr">
        <is>
          <t>Dependency</t>
        </is>
      </c>
      <c r="B21" s="2" t="inlineStr">
        <is>
          <t>DEP-CIN-T-023-CIN-T-016</t>
        </is>
      </c>
      <c r="C21" s="2" t="inlineStr">
        <is>
          <t>CIN-T-023</t>
        </is>
      </c>
      <c r="D21" s="2" t="inlineStr">
        <is>
          <t>CIN-T-016</t>
        </is>
      </c>
      <c r="E21" s="2" t="inlineStr">
        <is>
          <t>Blocks / prerequisite</t>
        </is>
      </c>
      <c r="F21" s="2" t="inlineStr">
        <is>
          <t>Triển khai thanh toán mô phỏng và trạng thái giao dịch must produce its output for Triển khai API booking, ticket và payment.</t>
        </is>
      </c>
      <c r="G21" s="2" t="inlineStr">
        <is>
          <t>Planned</t>
        </is>
      </c>
      <c r="H21" s="2" t="inlineStr">
        <is>
          <t>Review same-sprint predecessor ordering during refinement.</t>
        </is>
      </c>
    </row>
    <row r="22">
      <c r="A22" s="2" t="inlineStr">
        <is>
          <t>Dependency</t>
        </is>
      </c>
      <c r="B22" s="2" t="inlineStr">
        <is>
          <t>DEP-CIN-T-019-CIN-T-017</t>
        </is>
      </c>
      <c r="C22" s="2" t="inlineStr">
        <is>
          <t>CIN-T-019</t>
        </is>
      </c>
      <c r="D22" s="2" t="inlineStr">
        <is>
          <t>CIN-T-017</t>
        </is>
      </c>
      <c r="E22" s="2" t="inlineStr">
        <is>
          <t>Blocks / prerequisite</t>
        </is>
      </c>
      <c r="F22" s="2" t="inlineStr">
        <is>
          <t>Triển khai đăng ký, đăng nhập và phân quyền must produce its output for Triển khai API user và statistics cơ bản.</t>
        </is>
      </c>
      <c r="G22" s="2" t="inlineStr">
        <is>
          <t>Planned</t>
        </is>
      </c>
      <c r="H22" s="2" t="inlineStr">
        <is>
          <t>Review same-sprint predecessor ordering during refinement.</t>
        </is>
      </c>
    </row>
    <row r="23">
      <c r="A23" s="2" t="inlineStr">
        <is>
          <t>Dependency</t>
        </is>
      </c>
      <c r="B23" s="2" t="inlineStr">
        <is>
          <t>DEP-CIN-T-015-CIN-T-017</t>
        </is>
      </c>
      <c r="C23" s="2" t="inlineStr">
        <is>
          <t>CIN-T-015</t>
        </is>
      </c>
      <c r="D23" s="2" t="inlineStr">
        <is>
          <t>CIN-T-017</t>
        </is>
      </c>
      <c r="E23" s="2" t="inlineStr">
        <is>
          <t>Blocks / prerequisite</t>
        </is>
      </c>
      <c r="F23" s="2" t="inlineStr">
        <is>
          <t>Triển khai API phim, rạp, ghế, vé và lịch chiếu must produce its output for Triển khai API user và statistics cơ bản.</t>
        </is>
      </c>
      <c r="G23" s="2" t="inlineStr">
        <is>
          <t>Planned</t>
        </is>
      </c>
      <c r="H23" s="2" t="inlineStr">
        <is>
          <t>Review same-sprint predecessor ordering during refinement.</t>
        </is>
      </c>
    </row>
    <row r="24">
      <c r="A24" s="2" t="inlineStr">
        <is>
          <t>Dependency</t>
        </is>
      </c>
      <c r="B24" s="2" t="inlineStr">
        <is>
          <t>DEP-CIN-T-014-CIN-T-018</t>
        </is>
      </c>
      <c r="C24" s="2" t="inlineStr">
        <is>
          <t>CIN-T-014</t>
        </is>
      </c>
      <c r="D24" s="2" t="inlineStr">
        <is>
          <t>CIN-T-018</t>
        </is>
      </c>
      <c r="E24" s="2" t="inlineStr">
        <is>
          <t>Blocks / prerequisite</t>
        </is>
      </c>
      <c r="F24" s="2" t="inlineStr">
        <is>
          <t>Định nghĩa REST API và DTO foundation must produce its output for Chuẩn hóa API response và tài liệu OpenAPI.</t>
        </is>
      </c>
      <c r="G24" s="2" t="inlineStr">
        <is>
          <t>Planned</t>
        </is>
      </c>
      <c r="H24" s="2" t="inlineStr">
        <is>
          <t>Review same-sprint predecessor ordering during refinement.</t>
        </is>
      </c>
    </row>
    <row r="25">
      <c r="A25" s="2" t="inlineStr">
        <is>
          <t>Dependency</t>
        </is>
      </c>
      <c r="B25" s="2" t="inlineStr">
        <is>
          <t>DEP-CIN-T-013-CIN-T-019</t>
        </is>
      </c>
      <c r="C25" s="2" t="inlineStr">
        <is>
          <t>CIN-T-013</t>
        </is>
      </c>
      <c r="D25" s="2" t="inlineStr">
        <is>
          <t>CIN-T-019</t>
        </is>
      </c>
      <c r="E25" s="2" t="inlineStr">
        <is>
          <t>Blocks / prerequisite</t>
        </is>
      </c>
      <c r="F25" s="2" t="inlineStr">
        <is>
          <t>Xây persistence và khởi tạo database bằng EF Core must produce its output for Triển khai đăng ký, đăng nhập và phân quyền.</t>
        </is>
      </c>
      <c r="G25" s="2" t="inlineStr">
        <is>
          <t>Planned</t>
        </is>
      </c>
      <c r="H25" s="2" t="inlineStr">
        <is>
          <t>Review same-sprint predecessor ordering during refinement.</t>
        </is>
      </c>
    </row>
    <row r="26">
      <c r="A26" s="2" t="inlineStr">
        <is>
          <t>Dependency</t>
        </is>
      </c>
      <c r="B26" s="2" t="inlineStr">
        <is>
          <t>DEP-CIN-T-014-CIN-T-019</t>
        </is>
      </c>
      <c r="C26" s="2" t="inlineStr">
        <is>
          <t>CIN-T-014</t>
        </is>
      </c>
      <c r="D26" s="2" t="inlineStr">
        <is>
          <t>CIN-T-019</t>
        </is>
      </c>
      <c r="E26" s="2" t="inlineStr">
        <is>
          <t>Blocks / prerequisite</t>
        </is>
      </c>
      <c r="F26" s="2" t="inlineStr">
        <is>
          <t>Định nghĩa REST API và DTO foundation must produce its output for Triển khai đăng ký, đăng nhập và phân quyền.</t>
        </is>
      </c>
      <c r="G26" s="2" t="inlineStr">
        <is>
          <t>Planned</t>
        </is>
      </c>
      <c r="H26" s="2" t="inlineStr">
        <is>
          <t>Review same-sprint predecessor ordering during refinement.</t>
        </is>
      </c>
    </row>
    <row r="27">
      <c r="A27" s="2" t="inlineStr">
        <is>
          <t>Dependency</t>
        </is>
      </c>
      <c r="B27" s="2" t="inlineStr">
        <is>
          <t>DEP-CIN-T-003-CIN-T-019</t>
        </is>
      </c>
      <c r="C27" s="2" t="inlineStr">
        <is>
          <t>CIN-T-003</t>
        </is>
      </c>
      <c r="D27" s="2" t="inlineStr">
        <is>
          <t>CIN-T-019</t>
        </is>
      </c>
      <c r="E27" s="2" t="inlineStr">
        <is>
          <t>Blocks / prerequisite</t>
        </is>
      </c>
      <c r="F27" s="2" t="inlineStr">
        <is>
          <t>Baseline yêu cầu, use case và kiến trúc sơ bộ must produce its output for Triển khai đăng ký, đăng nhập và phân quyền.</t>
        </is>
      </c>
      <c r="G27" s="2" t="inlineStr">
        <is>
          <t>Planned</t>
        </is>
      </c>
      <c r="H27" s="2" t="inlineStr">
        <is>
          <t>Review same-sprint predecessor ordering during refinement.</t>
        </is>
      </c>
    </row>
    <row r="28">
      <c r="A28" s="2" t="inlineStr">
        <is>
          <t>Dependency</t>
        </is>
      </c>
      <c r="B28" s="2" t="inlineStr">
        <is>
          <t>DEP-CIN-T-015-CIN-T-020</t>
        </is>
      </c>
      <c r="C28" s="2" t="inlineStr">
        <is>
          <t>CIN-T-015</t>
        </is>
      </c>
      <c r="D28" s="2" t="inlineStr">
        <is>
          <t>CIN-T-020</t>
        </is>
      </c>
      <c r="E28" s="2" t="inlineStr">
        <is>
          <t>Blocks / prerequisite</t>
        </is>
      </c>
      <c r="F28" s="2" t="inlineStr">
        <is>
          <t>Triển khai API phim, rạp, ghế, vé và lịch chiếu must produce its output for Xây nghiệp vụ quản lý phim, phòng, ghế và loại vé.</t>
        </is>
      </c>
      <c r="G28" s="2" t="inlineStr">
        <is>
          <t>Planned</t>
        </is>
      </c>
      <c r="H28" s="2" t="inlineStr">
        <is>
          <t>Review same-sprint predecessor ordering during refinement.</t>
        </is>
      </c>
    </row>
    <row r="29">
      <c r="A29" s="2" t="inlineStr">
        <is>
          <t>Dependency</t>
        </is>
      </c>
      <c r="B29" s="2" t="inlineStr">
        <is>
          <t>DEP-CIN-T-019-CIN-T-020</t>
        </is>
      </c>
      <c r="C29" s="2" t="inlineStr">
        <is>
          <t>CIN-T-019</t>
        </is>
      </c>
      <c r="D29" s="2" t="inlineStr">
        <is>
          <t>CIN-T-020</t>
        </is>
      </c>
      <c r="E29" s="2" t="inlineStr">
        <is>
          <t>Blocks / prerequisite</t>
        </is>
      </c>
      <c r="F29" s="2" t="inlineStr">
        <is>
          <t>Triển khai đăng ký, đăng nhập và phân quyền must produce its output for Xây nghiệp vụ quản lý phim, phòng, ghế và loại vé.</t>
        </is>
      </c>
      <c r="G29" s="2" t="inlineStr">
        <is>
          <t>Planned</t>
        </is>
      </c>
      <c r="H29" s="2" t="inlineStr">
        <is>
          <t>Review same-sprint predecessor ordering during refinement.</t>
        </is>
      </c>
    </row>
    <row r="30">
      <c r="A30" s="2" t="inlineStr">
        <is>
          <t>Dependency</t>
        </is>
      </c>
      <c r="B30" s="2" t="inlineStr">
        <is>
          <t>DEP-CIN-T-020-CIN-T-021</t>
        </is>
      </c>
      <c r="C30" s="2" t="inlineStr">
        <is>
          <t>CIN-T-020</t>
        </is>
      </c>
      <c r="D30" s="2" t="inlineStr">
        <is>
          <t>CIN-T-021</t>
        </is>
      </c>
      <c r="E30" s="2" t="inlineStr">
        <is>
          <t>Blocks / prerequisite</t>
        </is>
      </c>
      <c r="F30" s="2" t="inlineStr">
        <is>
          <t>Xây nghiệp vụ quản lý phim, phòng, ghế và loại vé must produce its output for Xây nghiệp vụ suất chiếu và kiểm tra lịch.</t>
        </is>
      </c>
      <c r="G30" s="2" t="inlineStr">
        <is>
          <t>Planned</t>
        </is>
      </c>
      <c r="H30" s="2" t="inlineStr">
        <is>
          <t>Review same-sprint predecessor ordering during refinement.</t>
        </is>
      </c>
    </row>
    <row r="31">
      <c r="A31" s="2" t="inlineStr">
        <is>
          <t>Dependency</t>
        </is>
      </c>
      <c r="B31" s="2" t="inlineStr">
        <is>
          <t>DEP-CIN-T-021-CIN-T-022</t>
        </is>
      </c>
      <c r="C31" s="2" t="inlineStr">
        <is>
          <t>CIN-T-021</t>
        </is>
      </c>
      <c r="D31" s="2" t="inlineStr">
        <is>
          <t>CIN-T-022</t>
        </is>
      </c>
      <c r="E31" s="2" t="inlineStr">
        <is>
          <t>Blocks / prerequisite</t>
        </is>
      </c>
      <c r="F31" s="2" t="inlineStr">
        <is>
          <t>Xây nghiệp vụ suất chiếu và kiểm tra lịch must produce its output for Triển khai chọn ghế, giữ chỗ và tạo booking an toàn.</t>
        </is>
      </c>
      <c r="G31" s="2" t="inlineStr">
        <is>
          <t>Planned</t>
        </is>
      </c>
      <c r="H31" s="2" t="inlineStr">
        <is>
          <t>Review same-sprint predecessor ordering during refinement.</t>
        </is>
      </c>
    </row>
    <row r="32">
      <c r="A32" s="2" t="inlineStr">
        <is>
          <t>Dependency</t>
        </is>
      </c>
      <c r="B32" s="2" t="inlineStr">
        <is>
          <t>DEP-CIN-T-019-CIN-T-022</t>
        </is>
      </c>
      <c r="C32" s="2" t="inlineStr">
        <is>
          <t>CIN-T-019</t>
        </is>
      </c>
      <c r="D32" s="2" t="inlineStr">
        <is>
          <t>CIN-T-022</t>
        </is>
      </c>
      <c r="E32" s="2" t="inlineStr">
        <is>
          <t>Blocks / prerequisite</t>
        </is>
      </c>
      <c r="F32" s="2" t="inlineStr">
        <is>
          <t>Triển khai đăng ký, đăng nhập và phân quyền must produce its output for Triển khai chọn ghế, giữ chỗ và tạo booking an toàn.</t>
        </is>
      </c>
      <c r="G32" s="2" t="inlineStr">
        <is>
          <t>Planned</t>
        </is>
      </c>
      <c r="H32" s="2" t="inlineStr">
        <is>
          <t>Review same-sprint predecessor ordering during refinement.</t>
        </is>
      </c>
    </row>
    <row r="33">
      <c r="A33" s="2" t="inlineStr">
        <is>
          <t>Dependency</t>
        </is>
      </c>
      <c r="B33" s="2" t="inlineStr">
        <is>
          <t>DEP-CIN-T-014-CIN-T-022</t>
        </is>
      </c>
      <c r="C33" s="2" t="inlineStr">
        <is>
          <t>CIN-T-014</t>
        </is>
      </c>
      <c r="D33" s="2" t="inlineStr">
        <is>
          <t>CIN-T-022</t>
        </is>
      </c>
      <c r="E33" s="2" t="inlineStr">
        <is>
          <t>Blocks / prerequisite</t>
        </is>
      </c>
      <c r="F33" s="2" t="inlineStr">
        <is>
          <t>Định nghĩa REST API và DTO foundation must produce its output for Triển khai chọn ghế, giữ chỗ và tạo booking an toàn.</t>
        </is>
      </c>
      <c r="G33" s="2" t="inlineStr">
        <is>
          <t>Planned</t>
        </is>
      </c>
      <c r="H33" s="2" t="inlineStr">
        <is>
          <t>Review same-sprint predecessor ordering during refinement.</t>
        </is>
      </c>
    </row>
    <row r="34">
      <c r="A34" s="2" t="inlineStr">
        <is>
          <t>Dependency</t>
        </is>
      </c>
      <c r="B34" s="2" t="inlineStr">
        <is>
          <t>DEP-CIN-T-022-CIN-T-023</t>
        </is>
      </c>
      <c r="C34" s="2" t="inlineStr">
        <is>
          <t>CIN-T-022</t>
        </is>
      </c>
      <c r="D34" s="2" t="inlineStr">
        <is>
          <t>CIN-T-023</t>
        </is>
      </c>
      <c r="E34" s="2" t="inlineStr">
        <is>
          <t>Blocks / prerequisite</t>
        </is>
      </c>
      <c r="F34" s="2" t="inlineStr">
        <is>
          <t>Triển khai chọn ghế, giữ chỗ và tạo booking an toàn must produce its output for Triển khai thanh toán mô phỏng và trạng thái giao dịch.</t>
        </is>
      </c>
      <c r="G34" s="2" t="inlineStr">
        <is>
          <t>Planned</t>
        </is>
      </c>
      <c r="H34" s="2" t="inlineStr">
        <is>
          <t>Review same-sprint predecessor ordering during refinement.</t>
        </is>
      </c>
    </row>
    <row r="35">
      <c r="A35" s="2" t="inlineStr">
        <is>
          <t>Dependency</t>
        </is>
      </c>
      <c r="B35" s="2" t="inlineStr">
        <is>
          <t>DEP-CIN-T-023-CIN-T-024</t>
        </is>
      </c>
      <c r="C35" s="2" t="inlineStr">
        <is>
          <t>CIN-T-023</t>
        </is>
      </c>
      <c r="D35" s="2" t="inlineStr">
        <is>
          <t>CIN-T-024</t>
        </is>
      </c>
      <c r="E35" s="2" t="inlineStr">
        <is>
          <t>Blocks / prerequisite</t>
        </is>
      </c>
      <c r="F35" s="2" t="inlineStr">
        <is>
          <t>Triển khai thanh toán mô phỏng và trạng thái giao dịch must produce its output for Phát hành, tạo mã/QR và xác thực vé.</t>
        </is>
      </c>
      <c r="G35" s="2" t="inlineStr">
        <is>
          <t>Planned</t>
        </is>
      </c>
      <c r="H35" s="2" t="inlineStr">
        <is>
          <t>Review same-sprint predecessor ordering during refinement.</t>
        </is>
      </c>
    </row>
    <row r="36">
      <c r="A36" s="2" t="inlineStr">
        <is>
          <t>Dependency</t>
        </is>
      </c>
      <c r="B36" s="2" t="inlineStr">
        <is>
          <t>DEP-CIN-T-022-CIN-T-024</t>
        </is>
      </c>
      <c r="C36" s="2" t="inlineStr">
        <is>
          <t>CIN-T-022</t>
        </is>
      </c>
      <c r="D36" s="2" t="inlineStr">
        <is>
          <t>CIN-T-024</t>
        </is>
      </c>
      <c r="E36" s="2" t="inlineStr">
        <is>
          <t>Blocks / prerequisite</t>
        </is>
      </c>
      <c r="F36" s="2" t="inlineStr">
        <is>
          <t>Triển khai chọn ghế, giữ chỗ và tạo booking an toàn must produce its output for Phát hành, tạo mã/QR và xác thực vé.</t>
        </is>
      </c>
      <c r="G36" s="2" t="inlineStr">
        <is>
          <t>Planned</t>
        </is>
      </c>
      <c r="H36" s="2" t="inlineStr">
        <is>
          <t>Review same-sprint predecessor ordering during refinement.</t>
        </is>
      </c>
    </row>
    <row r="37">
      <c r="A37" s="2" t="inlineStr">
        <is>
          <t>Dependency</t>
        </is>
      </c>
      <c r="B37" s="2" t="inlineStr">
        <is>
          <t>DEP-CIN-T-009-CIN-T-025</t>
        </is>
      </c>
      <c r="C37" s="2" t="inlineStr">
        <is>
          <t>CIN-T-009</t>
        </is>
      </c>
      <c r="D37" s="2" t="inlineStr">
        <is>
          <t>CIN-T-025</t>
        </is>
      </c>
      <c r="E37" s="2" t="inlineStr">
        <is>
          <t>Blocks / prerequisite</t>
        </is>
      </c>
      <c r="F37" s="2" t="inlineStr">
        <is>
          <t>Đặc tả các màn hình Customer must produce its output for Xây giao diện xem phim và chọn suất chiếu.</t>
        </is>
      </c>
      <c r="G37" s="2" t="inlineStr">
        <is>
          <t>Planned</t>
        </is>
      </c>
      <c r="H37" s="2" t="inlineStr">
        <is>
          <t>Review same-sprint predecessor ordering during refinement.</t>
        </is>
      </c>
    </row>
    <row r="38">
      <c r="A38" s="2" t="inlineStr">
        <is>
          <t>Dependency</t>
        </is>
      </c>
      <c r="B38" s="2" t="inlineStr">
        <is>
          <t>DEP-CIN-T-015-CIN-T-025</t>
        </is>
      </c>
      <c r="C38" s="2" t="inlineStr">
        <is>
          <t>CIN-T-015</t>
        </is>
      </c>
      <c r="D38" s="2" t="inlineStr">
        <is>
          <t>CIN-T-025</t>
        </is>
      </c>
      <c r="E38" s="2" t="inlineStr">
        <is>
          <t>Blocks / prerequisite</t>
        </is>
      </c>
      <c r="F38" s="2" t="inlineStr">
        <is>
          <t>Triển khai API phim, rạp, ghế, vé và lịch chiếu must produce its output for Xây giao diện xem phim và chọn suất chiếu.</t>
        </is>
      </c>
      <c r="G38" s="2" t="inlineStr">
        <is>
          <t>Planned</t>
        </is>
      </c>
      <c r="H38" s="2" t="inlineStr">
        <is>
          <t>Review same-sprint predecessor ordering during refinement.</t>
        </is>
      </c>
    </row>
    <row r="39">
      <c r="A39" s="2" t="inlineStr">
        <is>
          <t>Dependency</t>
        </is>
      </c>
      <c r="B39" s="2" t="inlineStr">
        <is>
          <t>DEP-CIN-T-025-CIN-T-026</t>
        </is>
      </c>
      <c r="C39" s="2" t="inlineStr">
        <is>
          <t>CIN-T-025</t>
        </is>
      </c>
      <c r="D39" s="2" t="inlineStr">
        <is>
          <t>CIN-T-026</t>
        </is>
      </c>
      <c r="E39" s="2" t="inlineStr">
        <is>
          <t>Blocks / prerequisite</t>
        </is>
      </c>
      <c r="F39" s="2" t="inlineStr">
        <is>
          <t>Xây giao diện xem phim và chọn suất chiếu must produce its output for Xây giao diện ghế, thanh toán và tài khoản.</t>
        </is>
      </c>
      <c r="G39" s="2" t="inlineStr">
        <is>
          <t>Planned</t>
        </is>
      </c>
      <c r="H39" s="2" t="inlineStr">
        <is>
          <t>Review same-sprint predecessor ordering during refinement.</t>
        </is>
      </c>
    </row>
    <row r="40">
      <c r="A40" s="2" t="inlineStr">
        <is>
          <t>Dependency</t>
        </is>
      </c>
      <c r="B40" s="2" t="inlineStr">
        <is>
          <t>DEP-CIN-T-022-CIN-T-026</t>
        </is>
      </c>
      <c r="C40" s="2" t="inlineStr">
        <is>
          <t>CIN-T-022</t>
        </is>
      </c>
      <c r="D40" s="2" t="inlineStr">
        <is>
          <t>CIN-T-026</t>
        </is>
      </c>
      <c r="E40" s="2" t="inlineStr">
        <is>
          <t>Blocks / prerequisite</t>
        </is>
      </c>
      <c r="F40" s="2" t="inlineStr">
        <is>
          <t>Triển khai chọn ghế, giữ chỗ và tạo booking an toàn must produce its output for Xây giao diện ghế, thanh toán và tài khoản.</t>
        </is>
      </c>
      <c r="G40" s="2" t="inlineStr">
        <is>
          <t>Planned</t>
        </is>
      </c>
      <c r="H40" s="2" t="inlineStr">
        <is>
          <t>Review same-sprint predecessor ordering during refinement.</t>
        </is>
      </c>
    </row>
    <row r="41">
      <c r="A41" s="2" t="inlineStr">
        <is>
          <t>Dependency</t>
        </is>
      </c>
      <c r="B41" s="2" t="inlineStr">
        <is>
          <t>DEP-CIN-T-023-CIN-T-026</t>
        </is>
      </c>
      <c r="C41" s="2" t="inlineStr">
        <is>
          <t>CIN-T-023</t>
        </is>
      </c>
      <c r="D41" s="2" t="inlineStr">
        <is>
          <t>CIN-T-026</t>
        </is>
      </c>
      <c r="E41" s="2" t="inlineStr">
        <is>
          <t>Blocks / prerequisite</t>
        </is>
      </c>
      <c r="F41" s="2" t="inlineStr">
        <is>
          <t>Triển khai thanh toán mô phỏng và trạng thái giao dịch must produce its output for Xây giao diện ghế, thanh toán và tài khoản.</t>
        </is>
      </c>
      <c r="G41" s="2" t="inlineStr">
        <is>
          <t>Planned</t>
        </is>
      </c>
      <c r="H41" s="2" t="inlineStr">
        <is>
          <t>Review same-sprint predecessor ordering during refinement.</t>
        </is>
      </c>
    </row>
    <row r="42">
      <c r="A42" s="2" t="inlineStr">
        <is>
          <t>Dependency</t>
        </is>
      </c>
      <c r="B42" s="2" t="inlineStr">
        <is>
          <t>DEP-CIN-T-024-CIN-T-026</t>
        </is>
      </c>
      <c r="C42" s="2" t="inlineStr">
        <is>
          <t>CIN-T-024</t>
        </is>
      </c>
      <c r="D42" s="2" t="inlineStr">
        <is>
          <t>CIN-T-026</t>
        </is>
      </c>
      <c r="E42" s="2" t="inlineStr">
        <is>
          <t>Blocks / prerequisite</t>
        </is>
      </c>
      <c r="F42" s="2" t="inlineStr">
        <is>
          <t>Phát hành, tạo mã/QR và xác thực vé must produce its output for Xây giao diện ghế, thanh toán và tài khoản.</t>
        </is>
      </c>
      <c r="G42" s="2" t="inlineStr">
        <is>
          <t>Planned</t>
        </is>
      </c>
      <c r="H42" s="2" t="inlineStr">
        <is>
          <t>Review same-sprint predecessor ordering during refinement.</t>
        </is>
      </c>
    </row>
    <row r="43">
      <c r="A43" s="2" t="inlineStr">
        <is>
          <t>Dependency</t>
        </is>
      </c>
      <c r="B43" s="2" t="inlineStr">
        <is>
          <t>DEP-CIN-T-026-CIN-T-027</t>
        </is>
      </c>
      <c r="C43" s="2" t="inlineStr">
        <is>
          <t>CIN-T-026</t>
        </is>
      </c>
      <c r="D43" s="2" t="inlineStr">
        <is>
          <t>CIN-T-027</t>
        </is>
      </c>
      <c r="E43" s="2" t="inlineStr">
        <is>
          <t>Blocks / prerequisite</t>
        </is>
      </c>
      <c r="F43" s="2" t="inlineStr">
        <is>
          <t>Xây giao diện ghế, thanh toán và tài khoản must produce its output for Tích hợp frontend với API thật.</t>
        </is>
      </c>
      <c r="G43" s="2" t="inlineStr">
        <is>
          <t>Planned</t>
        </is>
      </c>
      <c r="H43" s="2" t="inlineStr">
        <is>
          <t>Review same-sprint predecessor ordering during refinement.</t>
        </is>
      </c>
    </row>
    <row r="44">
      <c r="A44" s="2" t="inlineStr">
        <is>
          <t>Dependency</t>
        </is>
      </c>
      <c r="B44" s="2" t="inlineStr">
        <is>
          <t>DEP-CIN-T-016-CIN-T-027</t>
        </is>
      </c>
      <c r="C44" s="2" t="inlineStr">
        <is>
          <t>CIN-T-016</t>
        </is>
      </c>
      <c r="D44" s="2" t="inlineStr">
        <is>
          <t>CIN-T-027</t>
        </is>
      </c>
      <c r="E44" s="2" t="inlineStr">
        <is>
          <t>Blocks / prerequisite</t>
        </is>
      </c>
      <c r="F44" s="2" t="inlineStr">
        <is>
          <t>Triển khai API booking, ticket và payment must produce its output for Tích hợp frontend với API thật.</t>
        </is>
      </c>
      <c r="G44" s="2" t="inlineStr">
        <is>
          <t>Planned</t>
        </is>
      </c>
      <c r="H44" s="2" t="inlineStr">
        <is>
          <t>Review same-sprint predecessor ordering during refinement.</t>
        </is>
      </c>
    </row>
    <row r="45">
      <c r="A45" s="2" t="inlineStr">
        <is>
          <t>Dependency</t>
        </is>
      </c>
      <c r="B45" s="2" t="inlineStr">
        <is>
          <t>DEP-CIN-T-019-CIN-T-027</t>
        </is>
      </c>
      <c r="C45" s="2" t="inlineStr">
        <is>
          <t>CIN-T-019</t>
        </is>
      </c>
      <c r="D45" s="2" t="inlineStr">
        <is>
          <t>CIN-T-027</t>
        </is>
      </c>
      <c r="E45" s="2" t="inlineStr">
        <is>
          <t>Blocks / prerequisite</t>
        </is>
      </c>
      <c r="F45" s="2" t="inlineStr">
        <is>
          <t>Triển khai đăng ký, đăng nhập và phân quyền must produce its output for Tích hợp frontend với API thật.</t>
        </is>
      </c>
      <c r="G45" s="2" t="inlineStr">
        <is>
          <t>Planned</t>
        </is>
      </c>
      <c r="H45" s="2" t="inlineStr">
        <is>
          <t>Review same-sprint predecessor ordering during refinement.</t>
        </is>
      </c>
    </row>
    <row r="46">
      <c r="A46" s="2" t="inlineStr">
        <is>
          <t>Dependency</t>
        </is>
      </c>
      <c r="B46" s="2" t="inlineStr">
        <is>
          <t>DEP-CIN-T-019-CIN-T-028</t>
        </is>
      </c>
      <c r="C46" s="2" t="inlineStr">
        <is>
          <t>CIN-T-019</t>
        </is>
      </c>
      <c r="D46" s="2" t="inlineStr">
        <is>
          <t>CIN-T-028</t>
        </is>
      </c>
      <c r="E46" s="2" t="inlineStr">
        <is>
          <t>Blocks / prerequisite</t>
        </is>
      </c>
      <c r="F46" s="2" t="inlineStr">
        <is>
          <t>Triển khai đăng ký, đăng nhập và phân quyền must produce its output for Xây giao diện quản trị và nhân viên tối thiểu.</t>
        </is>
      </c>
      <c r="G46" s="2" t="inlineStr">
        <is>
          <t>Planned</t>
        </is>
      </c>
      <c r="H46" s="2" t="inlineStr">
        <is>
          <t>Review same-sprint predecessor ordering during refinement.</t>
        </is>
      </c>
    </row>
    <row r="47">
      <c r="A47" s="2" t="inlineStr">
        <is>
          <t>Dependency</t>
        </is>
      </c>
      <c r="B47" s="2" t="inlineStr">
        <is>
          <t>DEP-CIN-T-020-CIN-T-028</t>
        </is>
      </c>
      <c r="C47" s="2" t="inlineStr">
        <is>
          <t>CIN-T-020</t>
        </is>
      </c>
      <c r="D47" s="2" t="inlineStr">
        <is>
          <t>CIN-T-028</t>
        </is>
      </c>
      <c r="E47" s="2" t="inlineStr">
        <is>
          <t>Blocks / prerequisite</t>
        </is>
      </c>
      <c r="F47" s="2" t="inlineStr">
        <is>
          <t>Xây nghiệp vụ quản lý phim, phòng, ghế và loại vé must produce its output for Xây giao diện quản trị và nhân viên tối thiểu.</t>
        </is>
      </c>
      <c r="G47" s="2" t="inlineStr">
        <is>
          <t>Planned</t>
        </is>
      </c>
      <c r="H47" s="2" t="inlineStr">
        <is>
          <t>Review same-sprint predecessor ordering during refinement.</t>
        </is>
      </c>
    </row>
    <row r="48">
      <c r="A48" s="2" t="inlineStr">
        <is>
          <t>Dependency</t>
        </is>
      </c>
      <c r="B48" s="2" t="inlineStr">
        <is>
          <t>DEP-CIN-T-021-CIN-T-028</t>
        </is>
      </c>
      <c r="C48" s="2" t="inlineStr">
        <is>
          <t>CIN-T-021</t>
        </is>
      </c>
      <c r="D48" s="2" t="inlineStr">
        <is>
          <t>CIN-T-028</t>
        </is>
      </c>
      <c r="E48" s="2" t="inlineStr">
        <is>
          <t>Blocks / prerequisite</t>
        </is>
      </c>
      <c r="F48" s="2" t="inlineStr">
        <is>
          <t>Xây nghiệp vụ suất chiếu và kiểm tra lịch must produce its output for Xây giao diện quản trị và nhân viên tối thiểu.</t>
        </is>
      </c>
      <c r="G48" s="2" t="inlineStr">
        <is>
          <t>Planned</t>
        </is>
      </c>
      <c r="H48" s="2" t="inlineStr">
        <is>
          <t>Review same-sprint predecessor ordering during refinement.</t>
        </is>
      </c>
    </row>
    <row r="49">
      <c r="A49" s="2" t="inlineStr">
        <is>
          <t>Dependency</t>
        </is>
      </c>
      <c r="B49" s="2" t="inlineStr">
        <is>
          <t>DEP-CIN-T-017-CIN-T-028</t>
        </is>
      </c>
      <c r="C49" s="2" t="inlineStr">
        <is>
          <t>CIN-T-017</t>
        </is>
      </c>
      <c r="D49" s="2" t="inlineStr">
        <is>
          <t>CIN-T-028</t>
        </is>
      </c>
      <c r="E49" s="2" t="inlineStr">
        <is>
          <t>Blocks / prerequisite</t>
        </is>
      </c>
      <c r="F49" s="2" t="inlineStr">
        <is>
          <t>Triển khai API user và statistics cơ bản must produce its output for Xây giao diện quản trị và nhân viên tối thiểu.</t>
        </is>
      </c>
      <c r="G49" s="2" t="inlineStr">
        <is>
          <t>Planned</t>
        </is>
      </c>
      <c r="H49" s="2" t="inlineStr">
        <is>
          <t>Review same-sprint predecessor ordering during refinement.</t>
        </is>
      </c>
    </row>
    <row r="50">
      <c r="A50" s="2" t="inlineStr">
        <is>
          <t>Dependency</t>
        </is>
      </c>
      <c r="B50" s="2" t="inlineStr">
        <is>
          <t>DEP-CIN-T-015-CIN-T-029</t>
        </is>
      </c>
      <c r="C50" s="2" t="inlineStr">
        <is>
          <t>CIN-T-015</t>
        </is>
      </c>
      <c r="D50" s="2" t="inlineStr">
        <is>
          <t>CIN-T-029</t>
        </is>
      </c>
      <c r="E50" s="2" t="inlineStr">
        <is>
          <t>Blocks / prerequisite</t>
        </is>
      </c>
      <c r="F50" s="2" t="inlineStr">
        <is>
          <t>Triển khai API phim, rạp, ghế, vé và lịch chiếu must produce its output for Bổ sung tìm kiếm và bộ lọc cần thiết.</t>
        </is>
      </c>
      <c r="G50" s="2" t="inlineStr">
        <is>
          <t>Planned</t>
        </is>
      </c>
      <c r="H50" s="2" t="inlineStr">
        <is>
          <t>Review same-sprint predecessor ordering during refinement.</t>
        </is>
      </c>
    </row>
    <row r="51">
      <c r="A51" s="2" t="inlineStr">
        <is>
          <t>Dependency</t>
        </is>
      </c>
      <c r="B51" s="2" t="inlineStr">
        <is>
          <t>DEP-CIN-T-028-CIN-T-029</t>
        </is>
      </c>
      <c r="C51" s="2" t="inlineStr">
        <is>
          <t>CIN-T-028</t>
        </is>
      </c>
      <c r="D51" s="2" t="inlineStr">
        <is>
          <t>CIN-T-029</t>
        </is>
      </c>
      <c r="E51" s="2" t="inlineStr">
        <is>
          <t>Blocks / prerequisite</t>
        </is>
      </c>
      <c r="F51" s="2" t="inlineStr">
        <is>
          <t>Xây giao diện quản trị và nhân viên tối thiểu must produce its output for Bổ sung tìm kiếm và bộ lọc cần thiết.</t>
        </is>
      </c>
      <c r="G51" s="2" t="inlineStr">
        <is>
          <t>Planned</t>
        </is>
      </c>
      <c r="H51" s="2" t="inlineStr">
        <is>
          <t>Review same-sprint predecessor ordering during refinement.</t>
        </is>
      </c>
    </row>
    <row r="52">
      <c r="A52" s="2" t="inlineStr">
        <is>
          <t>Dependency</t>
        </is>
      </c>
      <c r="B52" s="2" t="inlineStr">
        <is>
          <t>DEP-CIN-T-017-CIN-T-030</t>
        </is>
      </c>
      <c r="C52" s="2" t="inlineStr">
        <is>
          <t>CIN-T-017</t>
        </is>
      </c>
      <c r="D52" s="2" t="inlineStr">
        <is>
          <t>CIN-T-030</t>
        </is>
      </c>
      <c r="E52" s="2" t="inlineStr">
        <is>
          <t>Blocks / prerequisite</t>
        </is>
      </c>
      <c r="F52" s="2" t="inlineStr">
        <is>
          <t>Triển khai API user và statistics cơ bản must produce its output for Xây báo cáo cơ bản và đánh giá export.</t>
        </is>
      </c>
      <c r="G52" s="2" t="inlineStr">
        <is>
          <t>Planned</t>
        </is>
      </c>
      <c r="H52" s="2" t="inlineStr">
        <is>
          <t>Review same-sprint predecessor ordering during refinement.</t>
        </is>
      </c>
    </row>
    <row r="53">
      <c r="A53" s="2" t="inlineStr">
        <is>
          <t>Dependency</t>
        </is>
      </c>
      <c r="B53" s="2" t="inlineStr">
        <is>
          <t>DEP-CIN-T-023-CIN-T-030</t>
        </is>
      </c>
      <c r="C53" s="2" t="inlineStr">
        <is>
          <t>CIN-T-023</t>
        </is>
      </c>
      <c r="D53" s="2" t="inlineStr">
        <is>
          <t>CIN-T-030</t>
        </is>
      </c>
      <c r="E53" s="2" t="inlineStr">
        <is>
          <t>Blocks / prerequisite</t>
        </is>
      </c>
      <c r="F53" s="2" t="inlineStr">
        <is>
          <t>Triển khai thanh toán mô phỏng và trạng thái giao dịch must produce its output for Xây báo cáo cơ bản và đánh giá export.</t>
        </is>
      </c>
      <c r="G53" s="2" t="inlineStr">
        <is>
          <t>Planned</t>
        </is>
      </c>
      <c r="H53" s="2" t="inlineStr">
        <is>
          <t>Review same-sprint predecessor ordering during refinement.</t>
        </is>
      </c>
    </row>
    <row r="54">
      <c r="A54" s="2" t="inlineStr">
        <is>
          <t>Dependency</t>
        </is>
      </c>
      <c r="B54" s="2" t="inlineStr">
        <is>
          <t>DEP-CIN-T-024-CIN-T-030</t>
        </is>
      </c>
      <c r="C54" s="2" t="inlineStr">
        <is>
          <t>CIN-T-024</t>
        </is>
      </c>
      <c r="D54" s="2" t="inlineStr">
        <is>
          <t>CIN-T-030</t>
        </is>
      </c>
      <c r="E54" s="2" t="inlineStr">
        <is>
          <t>Blocks / prerequisite</t>
        </is>
      </c>
      <c r="F54" s="2" t="inlineStr">
        <is>
          <t>Phát hành, tạo mã/QR và xác thực vé must produce its output for Xây báo cáo cơ bản và đánh giá export.</t>
        </is>
      </c>
      <c r="G54" s="2" t="inlineStr">
        <is>
          <t>Planned</t>
        </is>
      </c>
      <c r="H54" s="2" t="inlineStr">
        <is>
          <t>Review same-sprint predecessor ordering during refinement.</t>
        </is>
      </c>
    </row>
    <row r="55">
      <c r="A55" s="2" t="inlineStr">
        <is>
          <t>Dependency</t>
        </is>
      </c>
      <c r="B55" s="2" t="inlineStr">
        <is>
          <t>DEP-CIN-T-025-CIN-T-031</t>
        </is>
      </c>
      <c r="C55" s="2" t="inlineStr">
        <is>
          <t>CIN-T-025</t>
        </is>
      </c>
      <c r="D55" s="2" t="inlineStr">
        <is>
          <t>CIN-T-031</t>
        </is>
      </c>
      <c r="E55" s="2" t="inlineStr">
        <is>
          <t>Blocks / prerequisite</t>
        </is>
      </c>
      <c r="F55" s="2" t="inlineStr">
        <is>
          <t>Xây giao diện xem phim và chọn suất chiếu must produce its output for Đánh giá và triển khai AI movie assistant tùy chọn.</t>
        </is>
      </c>
      <c r="G55" s="2" t="inlineStr">
        <is>
          <t>Planned</t>
        </is>
      </c>
      <c r="H55" s="2" t="inlineStr">
        <is>
          <t>Review same-sprint predecessor ordering during refinement.</t>
        </is>
      </c>
    </row>
    <row r="56">
      <c r="A56" s="2" t="inlineStr">
        <is>
          <t>Dependency</t>
        </is>
      </c>
      <c r="B56" s="2" t="inlineStr">
        <is>
          <t>DEP-CIN-T-029-CIN-T-031</t>
        </is>
      </c>
      <c r="C56" s="2" t="inlineStr">
        <is>
          <t>CIN-T-029</t>
        </is>
      </c>
      <c r="D56" s="2" t="inlineStr">
        <is>
          <t>CIN-T-031</t>
        </is>
      </c>
      <c r="E56" s="2" t="inlineStr">
        <is>
          <t>Blocks / prerequisite</t>
        </is>
      </c>
      <c r="F56" s="2" t="inlineStr">
        <is>
          <t>Bổ sung tìm kiếm và bộ lọc cần thiết must produce its output for Đánh giá và triển khai AI movie assistant tùy chọn.</t>
        </is>
      </c>
      <c r="G56" s="2" t="inlineStr">
        <is>
          <t>Planned</t>
        </is>
      </c>
      <c r="H56" s="2" t="inlineStr">
        <is>
          <t>Review same-sprint predecessor ordering during refinement.</t>
        </is>
      </c>
    </row>
    <row r="57">
      <c r="A57" s="2" t="inlineStr">
        <is>
          <t>Dependency</t>
        </is>
      </c>
      <c r="B57" s="2" t="inlineStr">
        <is>
          <t>DEP-CIN-T-014-CIN-T-032</t>
        </is>
      </c>
      <c r="C57" s="2" t="inlineStr">
        <is>
          <t>CIN-T-014</t>
        </is>
      </c>
      <c r="D57" s="2" t="inlineStr">
        <is>
          <t>CIN-T-032</t>
        </is>
      </c>
      <c r="E57" s="2" t="inlineStr">
        <is>
          <t>Blocks / prerequisite</t>
        </is>
      </c>
      <c r="F57" s="2" t="inlineStr">
        <is>
          <t>Định nghĩa REST API và DTO foundation must produce its output for Chuẩn hóa validation và xử lý lỗi backend/frontend.</t>
        </is>
      </c>
      <c r="G57" s="2" t="inlineStr">
        <is>
          <t>Planned</t>
        </is>
      </c>
      <c r="H57" s="2" t="inlineStr">
        <is>
          <t>Review same-sprint predecessor ordering during refinement.</t>
        </is>
      </c>
    </row>
    <row r="58">
      <c r="A58" s="2" t="inlineStr">
        <is>
          <t>Dependency</t>
        </is>
      </c>
      <c r="B58" s="2" t="inlineStr">
        <is>
          <t>DEP-CIN-T-022-CIN-T-032</t>
        </is>
      </c>
      <c r="C58" s="2" t="inlineStr">
        <is>
          <t>CIN-T-022</t>
        </is>
      </c>
      <c r="D58" s="2" t="inlineStr">
        <is>
          <t>CIN-T-032</t>
        </is>
      </c>
      <c r="E58" s="2" t="inlineStr">
        <is>
          <t>Blocks / prerequisite</t>
        </is>
      </c>
      <c r="F58" s="2" t="inlineStr">
        <is>
          <t>Triển khai chọn ghế, giữ chỗ và tạo booking an toàn must produce its output for Chuẩn hóa validation và xử lý lỗi backend/frontend.</t>
        </is>
      </c>
      <c r="G58" s="2" t="inlineStr">
        <is>
          <t>Planned</t>
        </is>
      </c>
      <c r="H58" s="2" t="inlineStr">
        <is>
          <t>Review same-sprint predecessor ordering during refinement.</t>
        </is>
      </c>
    </row>
    <row r="59">
      <c r="A59" s="2" t="inlineStr">
        <is>
          <t>Dependency</t>
        </is>
      </c>
      <c r="B59" s="2" t="inlineStr">
        <is>
          <t>DEP-CIN-T-023-CIN-T-032</t>
        </is>
      </c>
      <c r="C59" s="2" t="inlineStr">
        <is>
          <t>CIN-T-023</t>
        </is>
      </c>
      <c r="D59" s="2" t="inlineStr">
        <is>
          <t>CIN-T-032</t>
        </is>
      </c>
      <c r="E59" s="2" t="inlineStr">
        <is>
          <t>Blocks / prerequisite</t>
        </is>
      </c>
      <c r="F59" s="2" t="inlineStr">
        <is>
          <t>Triển khai thanh toán mô phỏng và trạng thái giao dịch must produce its output for Chuẩn hóa validation và xử lý lỗi backend/frontend.</t>
        </is>
      </c>
      <c r="G59" s="2" t="inlineStr">
        <is>
          <t>Planned</t>
        </is>
      </c>
      <c r="H59" s="2" t="inlineStr">
        <is>
          <t>Review same-sprint predecessor ordering during refinement.</t>
        </is>
      </c>
    </row>
    <row r="60">
      <c r="A60" s="2" t="inlineStr">
        <is>
          <t>Dependency</t>
        </is>
      </c>
      <c r="B60" s="2" t="inlineStr">
        <is>
          <t>DEP-CIN-T-019-CIN-T-033</t>
        </is>
      </c>
      <c r="C60" s="2" t="inlineStr">
        <is>
          <t>CIN-T-019</t>
        </is>
      </c>
      <c r="D60" s="2" t="inlineStr">
        <is>
          <t>CIN-T-033</t>
        </is>
      </c>
      <c r="E60" s="2" t="inlineStr">
        <is>
          <t>Blocks / prerequisite</t>
        </is>
      </c>
      <c r="F60" s="2" t="inlineStr">
        <is>
          <t>Triển khai đăng ký, đăng nhập và phân quyền must produce its output for Áp dụng bảo vệ tài khoản, API, input và secrets.</t>
        </is>
      </c>
      <c r="G60" s="2" t="inlineStr">
        <is>
          <t>Planned</t>
        </is>
      </c>
      <c r="H60" s="2" t="inlineStr">
        <is>
          <t>Review same-sprint predecessor ordering during refinement.</t>
        </is>
      </c>
    </row>
    <row r="61">
      <c r="A61" s="2" t="inlineStr">
        <is>
          <t>Dependency</t>
        </is>
      </c>
      <c r="B61" s="2" t="inlineStr">
        <is>
          <t>DEP-CIN-T-014-CIN-T-033</t>
        </is>
      </c>
      <c r="C61" s="2" t="inlineStr">
        <is>
          <t>CIN-T-014</t>
        </is>
      </c>
      <c r="D61" s="2" t="inlineStr">
        <is>
          <t>CIN-T-033</t>
        </is>
      </c>
      <c r="E61" s="2" t="inlineStr">
        <is>
          <t>Blocks / prerequisite</t>
        </is>
      </c>
      <c r="F61" s="2" t="inlineStr">
        <is>
          <t>Định nghĩa REST API và DTO foundation must produce its output for Áp dụng bảo vệ tài khoản, API, input và secrets.</t>
        </is>
      </c>
      <c r="G61" s="2" t="inlineStr">
        <is>
          <t>Planned</t>
        </is>
      </c>
      <c r="H61" s="2" t="inlineStr">
        <is>
          <t>Review same-sprint predecessor ordering during refinement.</t>
        </is>
      </c>
    </row>
    <row r="62">
      <c r="A62" s="2" t="inlineStr">
        <is>
          <t>Dependency</t>
        </is>
      </c>
      <c r="B62" s="2" t="inlineStr">
        <is>
          <t>DEP-CIN-T-012-CIN-T-033</t>
        </is>
      </c>
      <c r="C62" s="2" t="inlineStr">
        <is>
          <t>CIN-T-012</t>
        </is>
      </c>
      <c r="D62" s="2" t="inlineStr">
        <is>
          <t>CIN-T-033</t>
        </is>
      </c>
      <c r="E62" s="2" t="inlineStr">
        <is>
          <t>Blocks / prerequisite</t>
        </is>
      </c>
      <c r="F62" s="2" t="inlineStr">
        <is>
          <t>Thiết lập quy tắc cộng tác và cấu trúc repository must produce its output for Áp dụng bảo vệ tài khoản, API, input và secrets.</t>
        </is>
      </c>
      <c r="G62" s="2" t="inlineStr">
        <is>
          <t>Planned</t>
        </is>
      </c>
      <c r="H62" s="2" t="inlineStr">
        <is>
          <t>Review same-sprint predecessor ordering during refinement.</t>
        </is>
      </c>
    </row>
    <row r="63">
      <c r="A63" s="2" t="inlineStr">
        <is>
          <t>Dependency</t>
        </is>
      </c>
      <c r="B63" s="2" t="inlineStr">
        <is>
          <t>DEP-CIN-T-033-CIN-T-034</t>
        </is>
      </c>
      <c r="C63" s="2" t="inlineStr">
        <is>
          <t>CIN-T-033</t>
        </is>
      </c>
      <c r="D63" s="2" t="inlineStr">
        <is>
          <t>CIN-T-034</t>
        </is>
      </c>
      <c r="E63" s="2" t="inlineStr">
        <is>
          <t>Blocks / prerequisite</t>
        </is>
      </c>
      <c r="F63" s="2" t="inlineStr">
        <is>
          <t>Áp dụng bảo vệ tài khoản, API, input và secrets must produce its output for Đánh giá security headers nâng cao.</t>
        </is>
      </c>
      <c r="G63" s="2" t="inlineStr">
        <is>
          <t>Planned</t>
        </is>
      </c>
      <c r="H63" s="2" t="inlineStr">
        <is>
          <t>Review same-sprint predecessor ordering during refinement.</t>
        </is>
      </c>
    </row>
    <row r="64">
      <c r="A64" s="2" t="inlineStr">
        <is>
          <t>Dependency</t>
        </is>
      </c>
      <c r="B64" s="2" t="inlineStr">
        <is>
          <t>DEP-CIN-T-020-CIN-T-035</t>
        </is>
      </c>
      <c r="C64" s="2" t="inlineStr">
        <is>
          <t>CIN-T-020</t>
        </is>
      </c>
      <c r="D64" s="2" t="inlineStr">
        <is>
          <t>CIN-T-035</t>
        </is>
      </c>
      <c r="E64" s="2" t="inlineStr">
        <is>
          <t>Blocks / prerequisite</t>
        </is>
      </c>
      <c r="F64" s="2" t="inlineStr">
        <is>
          <t>Xây nghiệp vụ quản lý phim, phòng, ghế và loại vé must produce its output for Kiểm thử unit, integration và luồng đặt vé cốt lõi.</t>
        </is>
      </c>
      <c r="G64" s="2" t="inlineStr">
        <is>
          <t>Planned</t>
        </is>
      </c>
      <c r="H64" s="2" t="inlineStr">
        <is>
          <t>Review same-sprint predecessor ordering during refinement.</t>
        </is>
      </c>
    </row>
    <row r="65">
      <c r="A65" s="2" t="inlineStr">
        <is>
          <t>Dependency</t>
        </is>
      </c>
      <c r="B65" s="2" t="inlineStr">
        <is>
          <t>DEP-CIN-T-021-CIN-T-035</t>
        </is>
      </c>
      <c r="C65" s="2" t="inlineStr">
        <is>
          <t>CIN-T-021</t>
        </is>
      </c>
      <c r="D65" s="2" t="inlineStr">
        <is>
          <t>CIN-T-035</t>
        </is>
      </c>
      <c r="E65" s="2" t="inlineStr">
        <is>
          <t>Blocks / prerequisite</t>
        </is>
      </c>
      <c r="F65" s="2" t="inlineStr">
        <is>
          <t>Xây nghiệp vụ suất chiếu và kiểm tra lịch must produce its output for Kiểm thử unit, integration và luồng đặt vé cốt lõi.</t>
        </is>
      </c>
      <c r="G65" s="2" t="inlineStr">
        <is>
          <t>Planned</t>
        </is>
      </c>
      <c r="H65" s="2" t="inlineStr">
        <is>
          <t>Review same-sprint predecessor ordering during refinement.</t>
        </is>
      </c>
    </row>
    <row r="66">
      <c r="A66" s="2" t="inlineStr">
        <is>
          <t>Dependency</t>
        </is>
      </c>
      <c r="B66" s="2" t="inlineStr">
        <is>
          <t>DEP-CIN-T-022-CIN-T-035</t>
        </is>
      </c>
      <c r="C66" s="2" t="inlineStr">
        <is>
          <t>CIN-T-022</t>
        </is>
      </c>
      <c r="D66" s="2" t="inlineStr">
        <is>
          <t>CIN-T-035</t>
        </is>
      </c>
      <c r="E66" s="2" t="inlineStr">
        <is>
          <t>Blocks / prerequisite</t>
        </is>
      </c>
      <c r="F66" s="2" t="inlineStr">
        <is>
          <t>Triển khai chọn ghế, giữ chỗ và tạo booking an toàn must produce its output for Kiểm thử unit, integration và luồng đặt vé cốt lõi.</t>
        </is>
      </c>
      <c r="G66" s="2" t="inlineStr">
        <is>
          <t>Planned</t>
        </is>
      </c>
      <c r="H66" s="2" t="inlineStr">
        <is>
          <t>Review same-sprint predecessor ordering during refinement.</t>
        </is>
      </c>
    </row>
    <row r="67">
      <c r="A67" s="2" t="inlineStr">
        <is>
          <t>Dependency</t>
        </is>
      </c>
      <c r="B67" s="2" t="inlineStr">
        <is>
          <t>DEP-CIN-T-023-CIN-T-035</t>
        </is>
      </c>
      <c r="C67" s="2" t="inlineStr">
        <is>
          <t>CIN-T-023</t>
        </is>
      </c>
      <c r="D67" s="2" t="inlineStr">
        <is>
          <t>CIN-T-035</t>
        </is>
      </c>
      <c r="E67" s="2" t="inlineStr">
        <is>
          <t>Blocks / prerequisite</t>
        </is>
      </c>
      <c r="F67" s="2" t="inlineStr">
        <is>
          <t>Triển khai thanh toán mô phỏng và trạng thái giao dịch must produce its output for Kiểm thử unit, integration và luồng đặt vé cốt lõi.</t>
        </is>
      </c>
      <c r="G67" s="2" t="inlineStr">
        <is>
          <t>Planned</t>
        </is>
      </c>
      <c r="H67" s="2" t="inlineStr">
        <is>
          <t>Review same-sprint predecessor ordering during refinement.</t>
        </is>
      </c>
    </row>
    <row r="68">
      <c r="A68" s="2" t="inlineStr">
        <is>
          <t>Dependency</t>
        </is>
      </c>
      <c r="B68" s="2" t="inlineStr">
        <is>
          <t>DEP-CIN-T-024-CIN-T-035</t>
        </is>
      </c>
      <c r="C68" s="2" t="inlineStr">
        <is>
          <t>CIN-T-024</t>
        </is>
      </c>
      <c r="D68" s="2" t="inlineStr">
        <is>
          <t>CIN-T-035</t>
        </is>
      </c>
      <c r="E68" s="2" t="inlineStr">
        <is>
          <t>Blocks / prerequisite</t>
        </is>
      </c>
      <c r="F68" s="2" t="inlineStr">
        <is>
          <t>Phát hành, tạo mã/QR và xác thực vé must produce its output for Kiểm thử unit, integration và luồng đặt vé cốt lõi.</t>
        </is>
      </c>
      <c r="G68" s="2" t="inlineStr">
        <is>
          <t>Planned</t>
        </is>
      </c>
      <c r="H68" s="2" t="inlineStr">
        <is>
          <t>Review same-sprint predecessor ordering during refinement.</t>
        </is>
      </c>
    </row>
    <row r="69">
      <c r="A69" s="2" t="inlineStr">
        <is>
          <t>Dependency</t>
        </is>
      </c>
      <c r="B69" s="2" t="inlineStr">
        <is>
          <t>DEP-CIN-T-027-CIN-T-035</t>
        </is>
      </c>
      <c r="C69" s="2" t="inlineStr">
        <is>
          <t>CIN-T-027</t>
        </is>
      </c>
      <c r="D69" s="2" t="inlineStr">
        <is>
          <t>CIN-T-035</t>
        </is>
      </c>
      <c r="E69" s="2" t="inlineStr">
        <is>
          <t>Blocks / prerequisite</t>
        </is>
      </c>
      <c r="F69" s="2" t="inlineStr">
        <is>
          <t>Tích hợp frontend với API thật must produce its output for Kiểm thử unit, integration và luồng đặt vé cốt lõi.</t>
        </is>
      </c>
      <c r="G69" s="2" t="inlineStr">
        <is>
          <t>Planned</t>
        </is>
      </c>
      <c r="H69" s="2" t="inlineStr">
        <is>
          <t>Review same-sprint predecessor ordering during refinement.</t>
        </is>
      </c>
    </row>
    <row r="70">
      <c r="A70" s="2" t="inlineStr">
        <is>
          <t>Dependency</t>
        </is>
      </c>
      <c r="B70" s="2" t="inlineStr">
        <is>
          <t>DEP-CIN-T-035-CIN-T-036</t>
        </is>
      </c>
      <c r="C70" s="2" t="inlineStr">
        <is>
          <t>CIN-T-035</t>
        </is>
      </c>
      <c r="D70" s="2" t="inlineStr">
        <is>
          <t>CIN-T-036</t>
        </is>
      </c>
      <c r="E70" s="2" t="inlineStr">
        <is>
          <t>Blocks / prerequisite</t>
        </is>
      </c>
      <c r="F70" s="2" t="inlineStr">
        <is>
          <t>Kiểm thử unit, integration và luồng đặt vé cốt lõi must produce its output for Chạy kiểm thử hồi quy trước khi bàn giao.</t>
        </is>
      </c>
      <c r="G70" s="2" t="inlineStr">
        <is>
          <t>Planned</t>
        </is>
      </c>
      <c r="H70" s="2" t="inlineStr">
        <is>
          <t>Review same-sprint predecessor ordering during refinement.</t>
        </is>
      </c>
    </row>
    <row r="71">
      <c r="A71" s="2" t="inlineStr">
        <is>
          <t>Dependency</t>
        </is>
      </c>
      <c r="B71" s="2" t="inlineStr">
        <is>
          <t>DEP-CIN-T-028-CIN-T-036</t>
        </is>
      </c>
      <c r="C71" s="2" t="inlineStr">
        <is>
          <t>CIN-T-028</t>
        </is>
      </c>
      <c r="D71" s="2" t="inlineStr">
        <is>
          <t>CIN-T-036</t>
        </is>
      </c>
      <c r="E71" s="2" t="inlineStr">
        <is>
          <t>Blocks / prerequisite</t>
        </is>
      </c>
      <c r="F71" s="2" t="inlineStr">
        <is>
          <t>Xây giao diện quản trị và nhân viên tối thiểu must produce its output for Chạy kiểm thử hồi quy trước khi bàn giao.</t>
        </is>
      </c>
      <c r="G71" s="2" t="inlineStr">
        <is>
          <t>Planned</t>
        </is>
      </c>
      <c r="H71" s="2" t="inlineStr">
        <is>
          <t>Review same-sprint predecessor ordering during refinement.</t>
        </is>
      </c>
    </row>
    <row r="72">
      <c r="A72" s="2" t="inlineStr">
        <is>
          <t>Dependency</t>
        </is>
      </c>
      <c r="B72" s="2" t="inlineStr">
        <is>
          <t>DEP-CIN-T-029-CIN-T-036</t>
        </is>
      </c>
      <c r="C72" s="2" t="inlineStr">
        <is>
          <t>CIN-T-029</t>
        </is>
      </c>
      <c r="D72" s="2" t="inlineStr">
        <is>
          <t>CIN-T-036</t>
        </is>
      </c>
      <c r="E72" s="2" t="inlineStr">
        <is>
          <t>Blocks / prerequisite</t>
        </is>
      </c>
      <c r="F72" s="2" t="inlineStr">
        <is>
          <t>Bổ sung tìm kiếm và bộ lọc cần thiết must produce its output for Chạy kiểm thử hồi quy trước khi bàn giao.</t>
        </is>
      </c>
      <c r="G72" s="2" t="inlineStr">
        <is>
          <t>Planned</t>
        </is>
      </c>
      <c r="H72" s="2" t="inlineStr">
        <is>
          <t>Review same-sprint predecessor ordering during refinement.</t>
        </is>
      </c>
    </row>
    <row r="73">
      <c r="A73" s="2" t="inlineStr">
        <is>
          <t>Dependency</t>
        </is>
      </c>
      <c r="B73" s="2" t="inlineStr">
        <is>
          <t>DEP-CIN-T-030-CIN-T-036</t>
        </is>
      </c>
      <c r="C73" s="2" t="inlineStr">
        <is>
          <t>CIN-T-030</t>
        </is>
      </c>
      <c r="D73" s="2" t="inlineStr">
        <is>
          <t>CIN-T-036</t>
        </is>
      </c>
      <c r="E73" s="2" t="inlineStr">
        <is>
          <t>Blocks / prerequisite</t>
        </is>
      </c>
      <c r="F73" s="2" t="inlineStr">
        <is>
          <t>Xây báo cáo cơ bản và đánh giá export must produce its output for Chạy kiểm thử hồi quy trước khi bàn giao.</t>
        </is>
      </c>
      <c r="G73" s="2" t="inlineStr">
        <is>
          <t>Planned</t>
        </is>
      </c>
      <c r="H73" s="2" t="inlineStr">
        <is>
          <t>Review same-sprint predecessor ordering during refinement.</t>
        </is>
      </c>
    </row>
    <row r="74">
      <c r="A74" s="2" t="inlineStr">
        <is>
          <t>Dependency</t>
        </is>
      </c>
      <c r="B74" s="2" t="inlineStr">
        <is>
          <t>DEP-CIN-T-012-CIN-T-037</t>
        </is>
      </c>
      <c r="C74" s="2" t="inlineStr">
        <is>
          <t>CIN-T-012</t>
        </is>
      </c>
      <c r="D74" s="2" t="inlineStr">
        <is>
          <t>CIN-T-037</t>
        </is>
      </c>
      <c r="E74" s="2" t="inlineStr">
        <is>
          <t>Blocks / prerequisite</t>
        </is>
      </c>
      <c r="F74" s="2" t="inlineStr">
        <is>
          <t>Thiết lập quy tắc cộng tác và cấu trúc repository must produce its output for Chuẩn hóa môi trường phát triển local.</t>
        </is>
      </c>
      <c r="G74" s="2" t="inlineStr">
        <is>
          <t>Planned</t>
        </is>
      </c>
      <c r="H74" s="2" t="inlineStr">
        <is>
          <t>Review same-sprint predecessor ordering during refinement.</t>
        </is>
      </c>
    </row>
    <row r="75">
      <c r="A75" s="2" t="inlineStr">
        <is>
          <t>Dependency</t>
        </is>
      </c>
      <c r="B75" s="2" t="inlineStr">
        <is>
          <t>DEP-CIN-T-003-CIN-T-037</t>
        </is>
      </c>
      <c r="C75" s="2" t="inlineStr">
        <is>
          <t>CIN-T-003</t>
        </is>
      </c>
      <c r="D75" s="2" t="inlineStr">
        <is>
          <t>CIN-T-037</t>
        </is>
      </c>
      <c r="E75" s="2" t="inlineStr">
        <is>
          <t>Blocks / prerequisite</t>
        </is>
      </c>
      <c r="F75" s="2" t="inlineStr">
        <is>
          <t>Baseline yêu cầu, use case và kiến trúc sơ bộ must produce its output for Chuẩn hóa môi trường phát triển local.</t>
        </is>
      </c>
      <c r="G75" s="2" t="inlineStr">
        <is>
          <t>Planned</t>
        </is>
      </c>
      <c r="H75" s="2" t="inlineStr">
        <is>
          <t>Review same-sprint predecessor ordering during refinement.</t>
        </is>
      </c>
    </row>
    <row r="76">
      <c r="A76" s="2" t="inlineStr">
        <is>
          <t>Dependency</t>
        </is>
      </c>
      <c r="B76" s="2" t="inlineStr">
        <is>
          <t>DEP-CIN-T-035-CIN-T-038</t>
        </is>
      </c>
      <c r="C76" s="2" t="inlineStr">
        <is>
          <t>CIN-T-035</t>
        </is>
      </c>
      <c r="D76" s="2" t="inlineStr">
        <is>
          <t>CIN-T-038</t>
        </is>
      </c>
      <c r="E76" s="2" t="inlineStr">
        <is>
          <t>Blocks / prerequisite</t>
        </is>
      </c>
      <c r="F76" s="2" t="inlineStr">
        <is>
          <t>Kiểm thử unit, integration và luồng đặt vé cốt lõi must produce its output for Tự động hóa build, test và kiểm tra chất lượng.</t>
        </is>
      </c>
      <c r="G76" s="2" t="inlineStr">
        <is>
          <t>Planned</t>
        </is>
      </c>
      <c r="H76" s="2" t="inlineStr">
        <is>
          <t>Review same-sprint predecessor ordering during refinement.</t>
        </is>
      </c>
    </row>
    <row r="77">
      <c r="A77" s="2" t="inlineStr">
        <is>
          <t>Dependency</t>
        </is>
      </c>
      <c r="B77" s="2" t="inlineStr">
        <is>
          <t>DEP-CIN-T-012-CIN-T-038</t>
        </is>
      </c>
      <c r="C77" s="2" t="inlineStr">
        <is>
          <t>CIN-T-012</t>
        </is>
      </c>
      <c r="D77" s="2" t="inlineStr">
        <is>
          <t>CIN-T-038</t>
        </is>
      </c>
      <c r="E77" s="2" t="inlineStr">
        <is>
          <t>Blocks / prerequisite</t>
        </is>
      </c>
      <c r="F77" s="2" t="inlineStr">
        <is>
          <t>Thiết lập quy tắc cộng tác và cấu trúc repository must produce its output for Tự động hóa build, test và kiểm tra chất lượng.</t>
        </is>
      </c>
      <c r="G77" s="2" t="inlineStr">
        <is>
          <t>Planned</t>
        </is>
      </c>
      <c r="H77" s="2" t="inlineStr">
        <is>
          <t>Review same-sprint predecessor ordering during refinement.</t>
        </is>
      </c>
    </row>
    <row r="78">
      <c r="A78" s="2" t="inlineStr">
        <is>
          <t>Dependency</t>
        </is>
      </c>
      <c r="B78" s="2" t="inlineStr">
        <is>
          <t>DEP-CIN-T-037-CIN-T-039</t>
        </is>
      </c>
      <c r="C78" s="2" t="inlineStr">
        <is>
          <t>CIN-T-037</t>
        </is>
      </c>
      <c r="D78" s="2" t="inlineStr">
        <is>
          <t>CIN-T-039</t>
        </is>
      </c>
      <c r="E78" s="2" t="inlineStr">
        <is>
          <t>Blocks / prerequisite</t>
        </is>
      </c>
      <c r="F78" s="2" t="inlineStr">
        <is>
          <t>Chuẩn hóa môi trường phát triển local must produce its output for Chuẩn bị và xác minh môi trường triển khai demo.</t>
        </is>
      </c>
      <c r="G78" s="2" t="inlineStr">
        <is>
          <t>Planned</t>
        </is>
      </c>
      <c r="H78" s="2" t="inlineStr">
        <is>
          <t>Review same-sprint predecessor ordering during refinement.</t>
        </is>
      </c>
    </row>
    <row r="79">
      <c r="A79" s="2" t="inlineStr">
        <is>
          <t>Dependency</t>
        </is>
      </c>
      <c r="B79" s="2" t="inlineStr">
        <is>
          <t>DEP-CIN-T-038-CIN-T-039</t>
        </is>
      </c>
      <c r="C79" s="2" t="inlineStr">
        <is>
          <t>CIN-T-038</t>
        </is>
      </c>
      <c r="D79" s="2" t="inlineStr">
        <is>
          <t>CIN-T-039</t>
        </is>
      </c>
      <c r="E79" s="2" t="inlineStr">
        <is>
          <t>Blocks / prerequisite</t>
        </is>
      </c>
      <c r="F79" s="2" t="inlineStr">
        <is>
          <t>Tự động hóa build, test và kiểm tra chất lượng must produce its output for Chuẩn bị và xác minh môi trường triển khai demo.</t>
        </is>
      </c>
      <c r="G79" s="2" t="inlineStr">
        <is>
          <t>Planned</t>
        </is>
      </c>
      <c r="H79" s="2" t="inlineStr">
        <is>
          <t>Review same-sprint predecessor ordering during refinement.</t>
        </is>
      </c>
    </row>
    <row r="80">
      <c r="A80" s="2" t="inlineStr">
        <is>
          <t>Dependency</t>
        </is>
      </c>
      <c r="B80" s="2" t="inlineStr">
        <is>
          <t>DEP-CIN-T-027-CIN-T-039</t>
        </is>
      </c>
      <c r="C80" s="2" t="inlineStr">
        <is>
          <t>CIN-T-027</t>
        </is>
      </c>
      <c r="D80" s="2" t="inlineStr">
        <is>
          <t>CIN-T-039</t>
        </is>
      </c>
      <c r="E80" s="2" t="inlineStr">
        <is>
          <t>Blocks / prerequisite</t>
        </is>
      </c>
      <c r="F80" s="2" t="inlineStr">
        <is>
          <t>Tích hợp frontend với API thật must produce its output for Chuẩn bị và xác minh môi trường triển khai demo.</t>
        </is>
      </c>
      <c r="G80" s="2" t="inlineStr">
        <is>
          <t>Planned</t>
        </is>
      </c>
      <c r="H80" s="2" t="inlineStr">
        <is>
          <t>Review same-sprint predecessor ordering during refinement.</t>
        </is>
      </c>
    </row>
    <row r="81">
      <c r="A81" s="2" t="inlineStr">
        <is>
          <t>Dependency</t>
        </is>
      </c>
      <c r="B81" s="2" t="inlineStr">
        <is>
          <t>DEP-CIN-T-039-CIN-T-040</t>
        </is>
      </c>
      <c r="C81" s="2" t="inlineStr">
        <is>
          <t>CIN-T-039</t>
        </is>
      </c>
      <c r="D81" s="2" t="inlineStr">
        <is>
          <t>CIN-T-040</t>
        </is>
      </c>
      <c r="E81" s="2" t="inlineStr">
        <is>
          <t>Blocks / prerequisite</t>
        </is>
      </c>
      <c r="F81" s="2" t="inlineStr">
        <is>
          <t>Chuẩn bị và xác minh môi trường triển khai demo must produce its output for Hoàn thiện hosting và xác nhận triển khai.</t>
        </is>
      </c>
      <c r="G81" s="2" t="inlineStr">
        <is>
          <t>Planned</t>
        </is>
      </c>
      <c r="H81" s="2" t="inlineStr">
        <is>
          <t>Review same-sprint predecessor ordering during refinement.</t>
        </is>
      </c>
    </row>
    <row r="82">
      <c r="A82" s="2" t="inlineStr">
        <is>
          <t>Dependency</t>
        </is>
      </c>
      <c r="B82" s="2" t="inlineStr">
        <is>
          <t>DEP-CIN-T-039-CIN-T-041</t>
        </is>
      </c>
      <c r="C82" s="2" t="inlineStr">
        <is>
          <t>CIN-T-039</t>
        </is>
      </c>
      <c r="D82" s="2" t="inlineStr">
        <is>
          <t>CIN-T-041</t>
        </is>
      </c>
      <c r="E82" s="2" t="inlineStr">
        <is>
          <t>Blocks / prerequisite</t>
        </is>
      </c>
      <c r="F82" s="2" t="inlineStr">
        <is>
          <t>Chuẩn bị và xác minh môi trường triển khai demo must produce its output for Đánh giá logging, health, backup và vận hành.</t>
        </is>
      </c>
      <c r="G82" s="2" t="inlineStr">
        <is>
          <t>Planned</t>
        </is>
      </c>
      <c r="H82" s="2" t="inlineStr">
        <is>
          <t>Review same-sprint predecessor ordering during refinement.</t>
        </is>
      </c>
    </row>
    <row r="83">
      <c r="A83" s="2" t="inlineStr">
        <is>
          <t>Dependency</t>
        </is>
      </c>
      <c r="B83" s="2" t="inlineStr">
        <is>
          <t>DEP-CIN-T-007-CIN-T-042</t>
        </is>
      </c>
      <c r="C83" s="2" t="inlineStr">
        <is>
          <t>CIN-T-007</t>
        </is>
      </c>
      <c r="D83" s="2" t="inlineStr">
        <is>
          <t>CIN-T-042</t>
        </is>
      </c>
      <c r="E83" s="2" t="inlineStr">
        <is>
          <t>Blocks / prerequisite</t>
        </is>
      </c>
      <c r="F83" s="2" t="inlineStr">
        <is>
          <t>Hoàn tất ERD và relational schema must produce its output for Tạo README và tài liệu kiến trúc/database ban đầu.</t>
        </is>
      </c>
      <c r="G83" s="2" t="inlineStr">
        <is>
          <t>Planned</t>
        </is>
      </c>
      <c r="H83" s="2" t="inlineStr">
        <is>
          <t>Review same-sprint predecessor ordering during refinement.</t>
        </is>
      </c>
    </row>
    <row r="84">
      <c r="A84" s="2" t="inlineStr">
        <is>
          <t>Dependency</t>
        </is>
      </c>
      <c r="B84" s="2" t="inlineStr">
        <is>
          <t>DEP-CIN-T-003-CIN-T-042</t>
        </is>
      </c>
      <c r="C84" s="2" t="inlineStr">
        <is>
          <t>CIN-T-003</t>
        </is>
      </c>
      <c r="D84" s="2" t="inlineStr">
        <is>
          <t>CIN-T-042</t>
        </is>
      </c>
      <c r="E84" s="2" t="inlineStr">
        <is>
          <t>Blocks / prerequisite</t>
        </is>
      </c>
      <c r="F84" s="2" t="inlineStr">
        <is>
          <t>Baseline yêu cầu, use case và kiến trúc sơ bộ must produce its output for Tạo README và tài liệu kiến trúc/database ban đầu.</t>
        </is>
      </c>
      <c r="G84" s="2" t="inlineStr">
        <is>
          <t>Planned</t>
        </is>
      </c>
      <c r="H84" s="2" t="inlineStr">
        <is>
          <t>Review same-sprint predecessor ordering during refinement.</t>
        </is>
      </c>
    </row>
    <row r="85">
      <c r="A85" s="2" t="inlineStr">
        <is>
          <t>Dependency</t>
        </is>
      </c>
      <c r="B85" s="2" t="inlineStr">
        <is>
          <t>DEP-CIN-T-014-CIN-T-043</t>
        </is>
      </c>
      <c r="C85" s="2" t="inlineStr">
        <is>
          <t>CIN-T-014</t>
        </is>
      </c>
      <c r="D85" s="2" t="inlineStr">
        <is>
          <t>CIN-T-043</t>
        </is>
      </c>
      <c r="E85" s="2" t="inlineStr">
        <is>
          <t>Blocks / prerequisite</t>
        </is>
      </c>
      <c r="F85" s="2" t="inlineStr">
        <is>
          <t>Định nghĩa REST API và DTO foundation must produce its output for Hoàn thiện API và environment documentation.</t>
        </is>
      </c>
      <c r="G85" s="2" t="inlineStr">
        <is>
          <t>Planned</t>
        </is>
      </c>
      <c r="H85" s="2" t="inlineStr">
        <is>
          <t>Review same-sprint predecessor ordering during refinement.</t>
        </is>
      </c>
    </row>
    <row r="86">
      <c r="A86" s="2" t="inlineStr">
        <is>
          <t>Dependency</t>
        </is>
      </c>
      <c r="B86" s="2" t="inlineStr">
        <is>
          <t>DEP-CIN-T-037-CIN-T-043</t>
        </is>
      </c>
      <c r="C86" s="2" t="inlineStr">
        <is>
          <t>CIN-T-037</t>
        </is>
      </c>
      <c r="D86" s="2" t="inlineStr">
        <is>
          <t>CIN-T-043</t>
        </is>
      </c>
      <c r="E86" s="2" t="inlineStr">
        <is>
          <t>Blocks / prerequisite</t>
        </is>
      </c>
      <c r="F86" s="2" t="inlineStr">
        <is>
          <t>Chuẩn hóa môi trường phát triển local must produce its output for Hoàn thiện API và environment documentation.</t>
        </is>
      </c>
      <c r="G86" s="2" t="inlineStr">
        <is>
          <t>Planned</t>
        </is>
      </c>
      <c r="H86" s="2" t="inlineStr">
        <is>
          <t>Review same-sprint predecessor ordering during refinement.</t>
        </is>
      </c>
    </row>
    <row r="87">
      <c r="A87" s="2" t="inlineStr">
        <is>
          <t>Dependency</t>
        </is>
      </c>
      <c r="B87" s="2" t="inlineStr">
        <is>
          <t>DEP-CIN-T-039-CIN-T-044</t>
        </is>
      </c>
      <c r="C87" s="2" t="inlineStr">
        <is>
          <t>CIN-T-039</t>
        </is>
      </c>
      <c r="D87" s="2" t="inlineStr">
        <is>
          <t>CIN-T-044</t>
        </is>
      </c>
      <c r="E87" s="2" t="inlineStr">
        <is>
          <t>Blocks / prerequisite</t>
        </is>
      </c>
      <c r="F87" s="2" t="inlineStr">
        <is>
          <t>Chuẩn bị và xác minh môi trường triển khai demo must produce its output for Hoàn thiện hướng dẫn triển khai và sử dụng.</t>
        </is>
      </c>
      <c r="G87" s="2" t="inlineStr">
        <is>
          <t>Planned</t>
        </is>
      </c>
      <c r="H87" s="2" t="inlineStr">
        <is>
          <t>Review same-sprint predecessor ordering during refinement.</t>
        </is>
      </c>
    </row>
    <row r="88">
      <c r="A88" s="2" t="inlineStr">
        <is>
          <t>Dependency</t>
        </is>
      </c>
      <c r="B88" s="2" t="inlineStr">
        <is>
          <t>DEP-CIN-T-028-CIN-T-044</t>
        </is>
      </c>
      <c r="C88" s="2" t="inlineStr">
        <is>
          <t>CIN-T-028</t>
        </is>
      </c>
      <c r="D88" s="2" t="inlineStr">
        <is>
          <t>CIN-T-044</t>
        </is>
      </c>
      <c r="E88" s="2" t="inlineStr">
        <is>
          <t>Blocks / prerequisite</t>
        </is>
      </c>
      <c r="F88" s="2" t="inlineStr">
        <is>
          <t>Xây giao diện quản trị và nhân viên tối thiểu must produce its output for Hoàn thiện hướng dẫn triển khai và sử dụng.</t>
        </is>
      </c>
      <c r="G88" s="2" t="inlineStr">
        <is>
          <t>Planned</t>
        </is>
      </c>
      <c r="H88" s="2" t="inlineStr">
        <is>
          <t>Review same-sprint predecessor ordering during refinement.</t>
        </is>
      </c>
    </row>
    <row r="89">
      <c r="A89" s="2" t="inlineStr">
        <is>
          <t>Dependency</t>
        </is>
      </c>
      <c r="B89" s="2" t="inlineStr">
        <is>
          <t>DEP-CIN-T-027-CIN-T-045</t>
        </is>
      </c>
      <c r="C89" s="2" t="inlineStr">
        <is>
          <t>CIN-T-027</t>
        </is>
      </c>
      <c r="D89" s="2" t="inlineStr">
        <is>
          <t>CIN-T-045</t>
        </is>
      </c>
      <c r="E89" s="2" t="inlineStr">
        <is>
          <t>Blocks / prerequisite</t>
        </is>
      </c>
      <c r="F89" s="2" t="inlineStr">
        <is>
          <t>Tích hợp frontend với API thật must produce its output for Tích hợp toàn hệ thống và xử lý lỗi release.</t>
        </is>
      </c>
      <c r="G89" s="2" t="inlineStr">
        <is>
          <t>Planned</t>
        </is>
      </c>
      <c r="H89" s="2" t="inlineStr">
        <is>
          <t>Review same-sprint predecessor ordering during refinement.</t>
        </is>
      </c>
    </row>
    <row r="90">
      <c r="A90" s="2" t="inlineStr">
        <is>
          <t>Dependency</t>
        </is>
      </c>
      <c r="B90" s="2" t="inlineStr">
        <is>
          <t>DEP-CIN-T-035-CIN-T-045</t>
        </is>
      </c>
      <c r="C90" s="2" t="inlineStr">
        <is>
          <t>CIN-T-035</t>
        </is>
      </c>
      <c r="D90" s="2" t="inlineStr">
        <is>
          <t>CIN-T-045</t>
        </is>
      </c>
      <c r="E90" s="2" t="inlineStr">
        <is>
          <t>Blocks / prerequisite</t>
        </is>
      </c>
      <c r="F90" s="2" t="inlineStr">
        <is>
          <t>Kiểm thử unit, integration và luồng đặt vé cốt lõi must produce its output for Tích hợp toàn hệ thống và xử lý lỗi release.</t>
        </is>
      </c>
      <c r="G90" s="2" t="inlineStr">
        <is>
          <t>Planned</t>
        </is>
      </c>
      <c r="H90" s="2" t="inlineStr">
        <is>
          <t>Review same-sprint predecessor ordering during refinement.</t>
        </is>
      </c>
    </row>
    <row r="91">
      <c r="A91" s="2" t="inlineStr">
        <is>
          <t>Dependency</t>
        </is>
      </c>
      <c r="B91" s="2" t="inlineStr">
        <is>
          <t>DEP-CIN-T-028-CIN-T-045</t>
        </is>
      </c>
      <c r="C91" s="2" t="inlineStr">
        <is>
          <t>CIN-T-028</t>
        </is>
      </c>
      <c r="D91" s="2" t="inlineStr">
        <is>
          <t>CIN-T-045</t>
        </is>
      </c>
      <c r="E91" s="2" t="inlineStr">
        <is>
          <t>Blocks / prerequisite</t>
        </is>
      </c>
      <c r="F91" s="2" t="inlineStr">
        <is>
          <t>Xây giao diện quản trị và nhân viên tối thiểu must produce its output for Tích hợp toàn hệ thống và xử lý lỗi release.</t>
        </is>
      </c>
      <c r="G91" s="2" t="inlineStr">
        <is>
          <t>Planned</t>
        </is>
      </c>
      <c r="H91" s="2" t="inlineStr">
        <is>
          <t>Review same-sprint predecessor ordering during refinement.</t>
        </is>
      </c>
    </row>
    <row r="92">
      <c r="A92" s="2" t="inlineStr">
        <is>
          <t>Dependency</t>
        </is>
      </c>
      <c r="B92" s="2" t="inlineStr">
        <is>
          <t>DEP-CIN-T-039-CIN-T-045</t>
        </is>
      </c>
      <c r="C92" s="2" t="inlineStr">
        <is>
          <t>CIN-T-039</t>
        </is>
      </c>
      <c r="D92" s="2" t="inlineStr">
        <is>
          <t>CIN-T-045</t>
        </is>
      </c>
      <c r="E92" s="2" t="inlineStr">
        <is>
          <t>Blocks / prerequisite</t>
        </is>
      </c>
      <c r="F92" s="2" t="inlineStr">
        <is>
          <t>Chuẩn bị và xác minh môi trường triển khai demo must produce its output for Tích hợp toàn hệ thống và xử lý lỗi release.</t>
        </is>
      </c>
      <c r="G92" s="2" t="inlineStr">
        <is>
          <t>Planned</t>
        </is>
      </c>
      <c r="H92" s="2" t="inlineStr">
        <is>
          <t>Review same-sprint predecessor ordering during refinement.</t>
        </is>
      </c>
    </row>
    <row r="93">
      <c r="A93" s="2" t="inlineStr">
        <is>
          <t>Dependency</t>
        </is>
      </c>
      <c r="B93" s="2" t="inlineStr">
        <is>
          <t>DEP-CIN-T-045-CIN-T-046</t>
        </is>
      </c>
      <c r="C93" s="2" t="inlineStr">
        <is>
          <t>CIN-T-045</t>
        </is>
      </c>
      <c r="D93" s="2" t="inlineStr">
        <is>
          <t>CIN-T-046</t>
        </is>
      </c>
      <c r="E93" s="2" t="inlineStr">
        <is>
          <t>Blocks / prerequisite</t>
        </is>
      </c>
      <c r="F93" s="2" t="inlineStr">
        <is>
          <t>Tích hợp toàn hệ thống và xử lý lỗi release must produce its output for Chuẩn bị dữ liệu, tài khoản và kịch bản demo.</t>
        </is>
      </c>
      <c r="G93" s="2" t="inlineStr">
        <is>
          <t>Planned</t>
        </is>
      </c>
      <c r="H93" s="2" t="inlineStr">
        <is>
          <t>Review same-sprint predecessor ordering during refinement.</t>
        </is>
      </c>
    </row>
    <row r="94">
      <c r="A94" s="2" t="inlineStr">
        <is>
          <t>Dependency</t>
        </is>
      </c>
      <c r="B94" s="2" t="inlineStr">
        <is>
          <t>DEP-CIN-T-030-CIN-T-046</t>
        </is>
      </c>
      <c r="C94" s="2" t="inlineStr">
        <is>
          <t>CIN-T-030</t>
        </is>
      </c>
      <c r="D94" s="2" t="inlineStr">
        <is>
          <t>CIN-T-046</t>
        </is>
      </c>
      <c r="E94" s="2" t="inlineStr">
        <is>
          <t>Blocks / prerequisite</t>
        </is>
      </c>
      <c r="F94" s="2" t="inlineStr">
        <is>
          <t>Xây báo cáo cơ bản và đánh giá export must produce its output for Chuẩn bị dữ liệu, tài khoản và kịch bản demo.</t>
        </is>
      </c>
      <c r="G94" s="2" t="inlineStr">
        <is>
          <t>Planned</t>
        </is>
      </c>
      <c r="H94" s="2" t="inlineStr">
        <is>
          <t>Review same-sprint predecessor ordering during refinement.</t>
        </is>
      </c>
    </row>
    <row r="95">
      <c r="A95" s="2" t="inlineStr">
        <is>
          <t>Dependency</t>
        </is>
      </c>
      <c r="B95" s="2" t="inlineStr">
        <is>
          <t>DEP-CIN-T-003-CIN-T-047</t>
        </is>
      </c>
      <c r="C95" s="2" t="inlineStr">
        <is>
          <t>CIN-T-003</t>
        </is>
      </c>
      <c r="D95" s="2" t="inlineStr">
        <is>
          <t>CIN-T-047</t>
        </is>
      </c>
      <c r="E95" s="2" t="inlineStr">
        <is>
          <t>Blocks / prerequisite</t>
        </is>
      </c>
      <c r="F95" s="2" t="inlineStr">
        <is>
          <t>Baseline yêu cầu, use case và kiến trúc sơ bộ must produce its output for Soạn tổng quan và phân tích nghiệp vụ cho PA1.</t>
        </is>
      </c>
      <c r="G95" s="2" t="inlineStr">
        <is>
          <t>Planned</t>
        </is>
      </c>
      <c r="H95" s="2" t="inlineStr">
        <is>
          <t>Review same-sprint predecessor ordering during refinement.</t>
        </is>
      </c>
    </row>
    <row r="96">
      <c r="A96" s="2" t="inlineStr">
        <is>
          <t>Dependency</t>
        </is>
      </c>
      <c r="B96" s="2" t="inlineStr">
        <is>
          <t>DEP-CIN-T-007-CIN-T-048</t>
        </is>
      </c>
      <c r="C96" s="2" t="inlineStr">
        <is>
          <t>CIN-T-007</t>
        </is>
      </c>
      <c r="D96" s="2" t="inlineStr">
        <is>
          <t>CIN-T-048</t>
        </is>
      </c>
      <c r="E96" s="2" t="inlineStr">
        <is>
          <t>Blocks / prerequisite</t>
        </is>
      </c>
      <c r="F96" s="2" t="inlineStr">
        <is>
          <t>Hoàn tất ERD và relational schema must produce its output for Soạn phần thiết kế hệ thống và database.</t>
        </is>
      </c>
      <c r="G96" s="2" t="inlineStr">
        <is>
          <t>Planned</t>
        </is>
      </c>
      <c r="H96" s="2" t="inlineStr">
        <is>
          <t>Review same-sprint predecessor ordering during refinement.</t>
        </is>
      </c>
    </row>
    <row r="97">
      <c r="A97" s="2" t="inlineStr">
        <is>
          <t>Dependency</t>
        </is>
      </c>
      <c r="B97" s="2" t="inlineStr">
        <is>
          <t>DEP-CIN-T-003-CIN-T-048</t>
        </is>
      </c>
      <c r="C97" s="2" t="inlineStr">
        <is>
          <t>CIN-T-003</t>
        </is>
      </c>
      <c r="D97" s="2" t="inlineStr">
        <is>
          <t>CIN-T-048</t>
        </is>
      </c>
      <c r="E97" s="2" t="inlineStr">
        <is>
          <t>Blocks / prerequisite</t>
        </is>
      </c>
      <c r="F97" s="2" t="inlineStr">
        <is>
          <t>Baseline yêu cầu, use case và kiến trúc sơ bộ must produce its output for Soạn phần thiết kế hệ thống và database.</t>
        </is>
      </c>
      <c r="G97" s="2" t="inlineStr">
        <is>
          <t>Planned</t>
        </is>
      </c>
      <c r="H97" s="2" t="inlineStr">
        <is>
          <t>Review same-sprint predecessor ordering during refinement.</t>
        </is>
      </c>
    </row>
    <row r="98">
      <c r="A98" s="2" t="inlineStr">
        <is>
          <t>Dependency</t>
        </is>
      </c>
      <c r="B98" s="2" t="inlineStr">
        <is>
          <t>DEP-CIN-T-045-CIN-T-049</t>
        </is>
      </c>
      <c r="C98" s="2" t="inlineStr">
        <is>
          <t>CIN-T-045</t>
        </is>
      </c>
      <c r="D98" s="2" t="inlineStr">
        <is>
          <t>CIN-T-049</t>
        </is>
      </c>
      <c r="E98" s="2" t="inlineStr">
        <is>
          <t>Blocks / prerequisite</t>
        </is>
      </c>
      <c r="F98" s="2" t="inlineStr">
        <is>
          <t>Tích hợp toàn hệ thống và xử lý lỗi release must produce its output for Hoàn thiện chương kỹ thuật và triển khai trong báo cáo.</t>
        </is>
      </c>
      <c r="G98" s="2" t="inlineStr">
        <is>
          <t>Planned</t>
        </is>
      </c>
      <c r="H98" s="2" t="inlineStr">
        <is>
          <t>Review same-sprint predecessor ordering during refinement.</t>
        </is>
      </c>
    </row>
    <row r="99">
      <c r="A99" s="2" t="inlineStr">
        <is>
          <t>Dependency</t>
        </is>
      </c>
      <c r="B99" s="2" t="inlineStr">
        <is>
          <t>DEP-CIN-T-036-CIN-T-049</t>
        </is>
      </c>
      <c r="C99" s="2" t="inlineStr">
        <is>
          <t>CIN-T-036</t>
        </is>
      </c>
      <c r="D99" s="2" t="inlineStr">
        <is>
          <t>CIN-T-049</t>
        </is>
      </c>
      <c r="E99" s="2" t="inlineStr">
        <is>
          <t>Blocks / prerequisite</t>
        </is>
      </c>
      <c r="F99" s="2" t="inlineStr">
        <is>
          <t>Chạy kiểm thử hồi quy trước khi bàn giao must produce its output for Hoàn thiện chương kỹ thuật và triển khai trong báo cáo.</t>
        </is>
      </c>
      <c r="G99" s="2" t="inlineStr">
        <is>
          <t>Planned</t>
        </is>
      </c>
      <c r="H99" s="2" t="inlineStr">
        <is>
          <t>Review same-sprint predecessor ordering during refinement.</t>
        </is>
      </c>
    </row>
    <row r="100">
      <c r="A100" s="2" t="inlineStr">
        <is>
          <t>Dependency</t>
        </is>
      </c>
      <c r="B100" s="2" t="inlineStr">
        <is>
          <t>DEP-CIN-T-044-CIN-T-049</t>
        </is>
      </c>
      <c r="C100" s="2" t="inlineStr">
        <is>
          <t>CIN-T-044</t>
        </is>
      </c>
      <c r="D100" s="2" t="inlineStr">
        <is>
          <t>CIN-T-049</t>
        </is>
      </c>
      <c r="E100" s="2" t="inlineStr">
        <is>
          <t>Blocks / prerequisite</t>
        </is>
      </c>
      <c r="F100" s="2" t="inlineStr">
        <is>
          <t>Hoàn thiện hướng dẫn triển khai và sử dụng must produce its output for Hoàn thiện chương kỹ thuật và triển khai trong báo cáo.</t>
        </is>
      </c>
      <c r="G100" s="2" t="inlineStr">
        <is>
          <t>Planned</t>
        </is>
      </c>
      <c r="H100" s="2" t="inlineStr">
        <is>
          <t>Review same-sprint predecessor ordering during refinement.</t>
        </is>
      </c>
    </row>
    <row r="101">
      <c r="A101" s="2" t="inlineStr">
        <is>
          <t>Dependency</t>
        </is>
      </c>
      <c r="B101" s="2" t="inlineStr">
        <is>
          <t>DEP-CIN-T-049-CIN-T-050</t>
        </is>
      </c>
      <c r="C101" s="2" t="inlineStr">
        <is>
          <t>CIN-T-049</t>
        </is>
      </c>
      <c r="D101" s="2" t="inlineStr">
        <is>
          <t>CIN-T-050</t>
        </is>
      </c>
      <c r="E101" s="2" t="inlineStr">
        <is>
          <t>Blocks / prerequisite</t>
        </is>
      </c>
      <c r="F101" s="2" t="inlineStr">
        <is>
          <t>Hoàn thiện chương kỹ thuật và triển khai trong báo cáo must produce its output for Hoàn thiện đánh giá, slide và phân công thuyết trình.</t>
        </is>
      </c>
      <c r="G101" s="2" t="inlineStr">
        <is>
          <t>Planned</t>
        </is>
      </c>
      <c r="H101" s="2" t="inlineStr">
        <is>
          <t>Review same-sprint predecessor ordering during refinement.</t>
        </is>
      </c>
    </row>
    <row r="102">
      <c r="A102" s="2" t="inlineStr">
        <is>
          <t>Dependency</t>
        </is>
      </c>
      <c r="B102" s="2" t="inlineStr">
        <is>
          <t>DEP-CIN-T-046-CIN-T-050</t>
        </is>
      </c>
      <c r="C102" s="2" t="inlineStr">
        <is>
          <t>CIN-T-046</t>
        </is>
      </c>
      <c r="D102" s="2" t="inlineStr">
        <is>
          <t>CIN-T-050</t>
        </is>
      </c>
      <c r="E102" s="2" t="inlineStr">
        <is>
          <t>Blocks / prerequisite</t>
        </is>
      </c>
      <c r="F102" s="2" t="inlineStr">
        <is>
          <t>Chuẩn bị dữ liệu, tài khoản và kịch bản demo must produce its output for Hoàn thiện đánh giá, slide và phân công thuyết trình.</t>
        </is>
      </c>
      <c r="G102" s="2" t="inlineStr">
        <is>
          <t>Planned</t>
        </is>
      </c>
      <c r="H102" s="2" t="inlineStr">
        <is>
          <t>Review same-sprint predecessor ordering during refinement.</t>
        </is>
      </c>
    </row>
    <row r="103">
      <c r="A103" s="2" t="inlineStr">
        <is>
          <t>Milestone</t>
        </is>
      </c>
      <c r="B103" s="2" t="inlineStr">
        <is>
          <t>PA1</t>
        </is>
      </c>
      <c r="C103" s="2" t="inlineStr">
        <is>
          <t>16/10/2026 vs 17/10/2026 (CONFIRM)</t>
        </is>
      </c>
      <c r="D103" s="2" t="inlineStr">
        <is>
          <t>Sprint 1 / end 16/10</t>
        </is>
      </c>
      <c r="E103" s="2" t="inlineStr">
        <is>
          <t>PA1 submission</t>
        </is>
      </c>
      <c r="F103" s="2" t="inlineStr">
        <is>
          <t>Schedule workbook gives 16/10; another source gives through 17/10. No authoritative date selected.</t>
        </is>
      </c>
      <c r="G103" s="2" t="inlineStr">
        <is>
          <t>Unconfirmed</t>
        </is>
      </c>
      <c r="H103" s="2" t="inlineStr">
        <is>
          <t>Confirm official due date and any end-of-day interpretation.</t>
        </is>
      </c>
    </row>
    <row r="104">
      <c r="A104" s="2" t="inlineStr">
        <is>
          <t>Milestone</t>
        </is>
      </c>
      <c r="B104" s="2" t="inlineStr">
        <is>
          <t>PA2</t>
        </is>
      </c>
      <c r="C104" s="2" t="inlineStr">
        <is>
          <t>30/10/2026 (source-only; confirm)</t>
        </is>
      </c>
      <c r="D104" s="2" t="inlineStr">
        <is>
          <t>Sprint 2</t>
        </is>
      </c>
      <c r="E104" s="2" t="inlineStr">
        <is>
          <t>PA2 / initial foundation</t>
        </is>
      </c>
      <c r="F104" s="2" t="inlineStr">
        <is>
          <t>30/10 appears only in Overall Schedule as an initial integrated baseline.</t>
        </is>
      </c>
      <c r="G104" s="2" t="inlineStr">
        <is>
          <t>Unconfirmed</t>
        </is>
      </c>
      <c r="H104" s="2" t="inlineStr">
        <is>
          <t>Confirm whether PA2 exists, with official date and rubric.</t>
        </is>
      </c>
    </row>
    <row r="105">
      <c r="A105" s="2" t="inlineStr">
        <is>
          <t>Milestone</t>
        </is>
      </c>
      <c r="B105" s="2" t="inlineStr">
        <is>
          <t>PA3</t>
        </is>
      </c>
      <c r="C105" s="2" t="inlineStr">
        <is>
          <t>13/11/2026</t>
        </is>
      </c>
      <c r="D105" s="2" t="inlineStr">
        <is>
          <t>Sprint 3</t>
        </is>
      </c>
      <c r="E105" s="2" t="inlineStr">
        <is>
          <t>Detailed Design Baseline</t>
        </is>
      </c>
      <c r="F105" s="2" t="inlineStr">
        <is>
          <t>Date supplied in project brief.</t>
        </is>
      </c>
      <c r="G105" s="2" t="inlineStr">
        <is>
          <t>Planned</t>
        </is>
      </c>
      <c r="H105" s="2" t="inlineStr">
        <is>
          <t>Freeze design evidence; confirm allowed implementation scope before PA3.</t>
        </is>
      </c>
    </row>
    <row r="106">
      <c r="A106" s="2" t="inlineStr">
        <is>
          <t>Milestone</t>
        </is>
      </c>
      <c r="B106" s="2" t="inlineStr">
        <is>
          <t>PA4</t>
        </is>
      </c>
      <c r="C106" s="2" t="inlineStr">
        <is>
          <t>27/11/2026</t>
        </is>
      </c>
      <c r="D106" s="2" t="inlineStr">
        <is>
          <t>Sprint 4</t>
        </is>
      </c>
      <c r="E106" s="2" t="inlineStr">
        <is>
          <t>Integrated Demo</t>
        </is>
      </c>
      <c r="F106" s="2" t="inlineStr">
        <is>
          <t>Date supplied in project brief.</t>
        </is>
      </c>
      <c r="G106" s="2" t="inlineStr">
        <is>
          <t>Planned</t>
        </is>
      </c>
      <c r="H106" s="2" t="inlineStr">
        <is>
          <t>Demonstrate one integrated core customer flow.</t>
        </is>
      </c>
    </row>
    <row r="107">
      <c r="A107" s="2" t="inlineStr">
        <is>
          <t>Milestone</t>
        </is>
      </c>
      <c r="B107" s="2" t="inlineStr">
        <is>
          <t>PA5</t>
        </is>
      </c>
      <c r="C107" s="2" t="inlineStr">
        <is>
          <t>12/12/2026</t>
        </is>
      </c>
      <c r="D107" s="2" t="inlineStr">
        <is>
          <t>Sprint 5</t>
        </is>
      </c>
      <c r="E107" s="2" t="inlineStr">
        <is>
          <t>Final Build</t>
        </is>
      </c>
      <c r="F107" s="2" t="inlineStr">
        <is>
          <t>Date supplied in project brief.</t>
        </is>
      </c>
      <c r="G107" s="2" t="inlineStr">
        <is>
          <t>Planned</t>
        </is>
      </c>
      <c r="H107" s="2" t="inlineStr">
        <is>
          <t>Submit final build, documentation, demo and known-issues list.</t>
        </is>
      </c>
    </row>
  </sheetData>
  <autoFilter ref="A1:H10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0" customWidth="1" min="3" max="3"/>
    <col width="105" customWidth="1" min="4" max="4"/>
    <col width="80" customWidth="1" min="5" max="5"/>
    <col width="100" customWidth="1" min="6" max="6"/>
    <col width="16" customWidth="1" min="7" max="7"/>
  </cols>
  <sheetData>
    <row r="1" ht="34" customHeight="1">
      <c r="A1" s="1" t="inlineStr">
        <is>
          <t>ID</t>
        </is>
      </c>
      <c r="B1" s="1" t="inlineStr">
        <is>
          <t>Type</t>
        </is>
      </c>
      <c r="C1" s="1" t="inlineStr">
        <is>
          <t>Topic</t>
        </is>
      </c>
      <c r="D1" s="1" t="inlineStr">
        <is>
          <t>Evidence / Assumption</t>
        </is>
      </c>
      <c r="E1" s="1" t="inlineStr">
        <is>
          <t>Impact</t>
        </is>
      </c>
      <c r="F1" s="1" t="inlineStr">
        <is>
          <t>Required Confirmation / Action</t>
        </is>
      </c>
      <c r="G1" s="1" t="inlineStr">
        <is>
          <t>Status</t>
        </is>
      </c>
    </row>
    <row r="2">
      <c r="A2" s="2" t="inlineStr">
        <is>
          <t>ISS-01</t>
        </is>
      </c>
      <c r="B2" s="2" t="inlineStr">
        <is>
          <t>Schedule conflict</t>
        </is>
      </c>
      <c r="C2" s="2" t="inlineStr">
        <is>
          <t>PA1 date conflict</t>
        </is>
      </c>
      <c r="D2" s="2" t="inlineStr">
        <is>
          <t>The schedule workbook lists 16/10/2026; another supplied source says through 17/10/2026. The date is intentionally unresolved.</t>
        </is>
      </c>
      <c r="E2" s="2" t="inlineStr">
        <is>
          <t>Sprint 1 closeout/submission may shift.</t>
        </is>
      </c>
      <c r="F2" s="2" t="inlineStr">
        <is>
          <t>Confirm official date with course staff/team before commitment.</t>
        </is>
      </c>
      <c r="G2" s="2" t="inlineStr">
        <is>
          <t>Open</t>
        </is>
      </c>
    </row>
    <row r="3">
      <c r="A3" s="2" t="inlineStr">
        <is>
          <t>ASM-01</t>
        </is>
      </c>
      <c r="B3" s="2" t="inlineStr">
        <is>
          <t>Planning assumption</t>
        </is>
      </c>
      <c r="C3" s="2" t="inlineStr">
        <is>
          <t>Effort unit</t>
        </is>
      </c>
      <c r="D3" s="2" t="inlineStr">
        <is>
          <t>No actual hours, velocity or historical throughput was provided. Relative Story Points: 1=small, 2=moderate, 3=large/high-risk; not person-hours.</t>
        </is>
      </c>
      <c r="E3" s="2" t="inlineStr">
        <is>
          <t>Capacity estimates are indicative only.</t>
        </is>
      </c>
      <c r="F3" s="2" t="inlineStr">
        <is>
          <t>Re-estimate as a team after refinement.</t>
        </is>
      </c>
      <c r="G3" s="2" t="inlineStr">
        <is>
          <t>Review</t>
        </is>
      </c>
    </row>
    <row r="4">
      <c r="A4" s="2" t="inlineStr">
        <is>
          <t>ASM-02</t>
        </is>
      </c>
      <c r="B4" s="2" t="inlineStr">
        <is>
          <t>Capacity assumption</t>
        </is>
      </c>
      <c r="C4" s="2" t="inlineStr">
        <is>
          <t>Part-time availability</t>
        </is>
      </c>
      <c r="D4" s="2" t="inlineStr">
        <is>
          <t>Member availability is unknown. A provisional 20 SP/member/sprint flag is used only to highlight overload, not as verified capacity.</t>
        </is>
      </c>
      <c r="E4" s="2" t="inlineStr">
        <is>
          <t>Any overage warrants review; no full-time assumption is made.</t>
        </is>
      </c>
      <c r="F4" s="2" t="inlineStr">
        <is>
          <t>Confirm class/exam schedule and availability.</t>
        </is>
      </c>
      <c r="G4" s="2" t="inlineStr">
        <is>
          <t>Review</t>
        </is>
      </c>
    </row>
    <row r="5">
      <c r="A5" s="2" t="inlineStr">
        <is>
          <t>ASM-03</t>
        </is>
      </c>
      <c r="B5" s="2" t="inlineStr">
        <is>
          <t>Assignment method</t>
        </is>
      </c>
      <c r="C5" s="2" t="inlineStr">
        <is>
          <t>Fresh assignment</t>
        </is>
      </c>
      <c r="D5" s="2" t="inlineStr">
        <is>
          <t>New owners/assignees use only the supplied five-person roster and estimated effort. Legacy assignment values are excluded from planning.</t>
        </is>
      </c>
      <c r="E5" s="2" t="inlineStr">
        <is>
          <t>No differentiated skills were evidenced; no specialization assumed.</t>
        </is>
      </c>
      <c r="F5" s="2" t="inlineStr">
        <is>
          <t>Team confirms ownership and access to tools.</t>
        </is>
      </c>
      <c r="G5" s="2" t="inlineStr">
        <is>
          <t>Review</t>
        </is>
      </c>
    </row>
    <row r="6">
      <c r="A6" s="2" t="inlineStr">
        <is>
          <t>ASM-04</t>
        </is>
      </c>
      <c r="B6" s="2" t="inlineStr">
        <is>
          <t>Progress status</t>
        </is>
      </c>
      <c r="C6" s="2" t="inlineStr">
        <is>
          <t>Completion evidence</t>
        </is>
      </c>
      <c r="D6" s="2" t="inlineStr">
        <is>
          <t>All statuses are Planned. Source schedule values such as Done were not evidence for these 292 tasks.</t>
        </is>
      </c>
      <c r="E6" s="2" t="inlineStr">
        <is>
          <t>Avoids fabricating progress.</t>
        </is>
      </c>
      <c r="F6" s="2" t="inlineStr">
        <is>
          <t>Update only after checking repository/artifact evidence.</t>
        </is>
      </c>
      <c r="G6" s="2" t="inlineStr">
        <is>
          <t>Review</t>
        </is>
      </c>
    </row>
    <row r="7">
      <c r="A7" s="2" t="inlineStr">
        <is>
          <t>ISS-02</t>
        </is>
      </c>
      <c r="B7" s="2" t="inlineStr">
        <is>
          <t>Scope conflict</t>
        </is>
      </c>
      <c r="C7" s="2" t="inlineStr">
        <is>
          <t>Payment gateway and refund</t>
        </is>
      </c>
      <c r="D7" s="2" t="inlineStr">
        <is>
          <t>Overall schedule describes simulated payment and excludes real gateway; task rows mention conditional gateway/refund.</t>
        </is>
      </c>
      <c r="E7" s="2" t="inlineStr">
        <is>
          <t>External credentials/security/testing add scope and risk.</t>
        </is>
      </c>
      <c r="F7" s="2" t="inlineStr">
        <is>
          <t>Keep simulation in baseline; approve gateway/refund explicitly before work.</t>
        </is>
      </c>
      <c r="G7" s="2" t="inlineStr">
        <is>
          <t>Open</t>
        </is>
      </c>
    </row>
    <row r="8">
      <c r="A8" s="2" t="inlineStr">
        <is>
          <t>ISS-03</t>
        </is>
      </c>
      <c r="B8" s="2" t="inlineStr">
        <is>
          <t>Scope uncertainty</t>
        </is>
      </c>
      <c r="C8" s="2" t="inlineStr">
        <is>
          <t>AI and extensions</t>
        </is>
      </c>
      <c r="D8" s="2" t="inlineStr">
        <is>
          <t>AI, export, advanced deployment, domain/DNS, security headers, monitoring, backup and production hardening are optional/environment-dependent.</t>
        </is>
      </c>
      <c r="E8" s="2" t="inlineStr">
        <is>
          <t>Sprint 5 may not support all extensions.</t>
        </is>
      </c>
      <c r="F8" s="2" t="inlineStr">
        <is>
          <t>Keep conditional backlog low priority; do not block PA5 core scope.</t>
        </is>
      </c>
      <c r="G8" s="2" t="inlineStr">
        <is>
          <t>Open</t>
        </is>
      </c>
    </row>
    <row r="9">
      <c r="A9" s="2" t="inlineStr">
        <is>
          <t>ISS-04</t>
        </is>
      </c>
      <c r="B9" s="2" t="inlineStr">
        <is>
          <t>Dependency risk</t>
        </is>
      </c>
      <c r="C9" s="2" t="inlineStr">
        <is>
          <t>Seat uniqueness and ticket issue</t>
        </is>
      </c>
      <c r="D9" s="2" t="inlineStr">
        <is>
          <t>Correctness depends on concurrency/transaction protection and payment-success gating before ticket issuance.</t>
        </is>
      </c>
      <c r="E9" s="2" t="inlineStr">
        <is>
          <t>Duplicate seats or invalid tickets are critical defects.</t>
        </is>
      </c>
      <c r="F9" s="2" t="inlineStr">
        <is>
          <t>Require concurrency and payment/ticket integration evidence before PA4.</t>
        </is>
      </c>
      <c r="G9" s="2" t="inlineStr">
        <is>
          <t>Open</t>
        </is>
      </c>
    </row>
    <row r="10">
      <c r="A10" s="2" t="inlineStr">
        <is>
          <t>ISS-05</t>
        </is>
      </c>
      <c r="B10" s="2" t="inlineStr">
        <is>
          <t>Schedule/rubric risk</t>
        </is>
      </c>
      <c r="C10" s="2" t="inlineStr">
        <is>
          <t>PA3 versus Sprint 3 code</t>
        </is>
      </c>
      <c r="D10" s="2" t="inlineStr">
        <is>
          <t>PA3 is Detailed Design Baseline on 13/11; limited foundation coding is scheduled during Sprint 3.</t>
        </is>
      </c>
      <c r="E10" s="2" t="inlineStr">
        <is>
          <t>Could conflict if PA3 requires design-only work.</t>
        </is>
      </c>
      <c r="F10" s="2" t="inlineStr">
        <is>
          <t>Confirm rules; re-sequence code tasks if needed and reevaluate capacity.</t>
        </is>
      </c>
      <c r="G10" s="2" t="inlineStr">
        <is>
          <t>Open</t>
        </is>
      </c>
    </row>
    <row r="11">
      <c r="A11" s="2" t="inlineStr">
        <is>
          <t>ISS-06</t>
        </is>
      </c>
      <c r="B11" s="2" t="inlineStr">
        <is>
          <t>Schedule uncertainty</t>
        </is>
      </c>
      <c r="C11" s="2" t="inlineStr">
        <is>
          <t>PA2 date</t>
        </is>
      </c>
      <c r="D11" s="2" t="inlineStr">
        <is>
          <t>The overall schedule mentions 30/10 initial baseline, but the brief does not confirm a PA2 milestone.</t>
        </is>
      </c>
      <c r="E11" s="2" t="inlineStr">
        <is>
          <t>Sprint 2 exit criteria may change.</t>
        </is>
      </c>
      <c r="F11" s="2" t="inlineStr">
        <is>
          <t>Confirm if PA2 exists and obtain date/rubric.</t>
        </is>
      </c>
      <c r="G11" s="2" t="inlineStr">
        <is>
          <t>Open</t>
        </is>
      </c>
    </row>
    <row r="12">
      <c r="A12" s="2" t="inlineStr">
        <is>
          <t>ASM-05</t>
        </is>
      </c>
      <c r="B12" s="2" t="inlineStr">
        <is>
          <t>Source handling</t>
        </is>
      </c>
      <c r="C12" s="2" t="inlineStr">
        <is>
          <t>Original rows</t>
        </is>
      </c>
      <c r="D12" s="2" t="inlineStr">
        <is>
          <t>Every source row preserves stable ORIG ID, work text/details, classification, proposed sprint and rationale. Legacy assignment is omitted so it cannot be mistaken for new ownership.</t>
        </is>
      </c>
      <c r="E12" s="2" t="inlineStr">
        <is>
          <t>Original workbook summaries/formatting are not copied; source file is untouched.</t>
        </is>
      </c>
      <c r="F12" s="2" t="inlineStr">
        <is>
          <t>Trace via Original Row ID and worksheet row number.</t>
        </is>
      </c>
      <c r="G12" s="2" t="inlineStr">
        <is>
          <t>Review</t>
        </is>
      </c>
    </row>
    <row r="13">
      <c r="A13" s="2" t="inlineStr">
        <is>
          <t>ASM-06</t>
        </is>
      </c>
      <c r="B13" s="2" t="inlineStr">
        <is>
          <t>Planning assumption</t>
        </is>
      </c>
      <c r="C13" s="2" t="inlineStr">
        <is>
          <t>Date precision</t>
        </is>
      </c>
      <c r="D13" s="2" t="inlineStr">
        <is>
          <t>Sub-task Start Date and Due Date use the assigned Sprint's calendar boundaries; source data does not justify day-level sequencing within a Sprint.</t>
        </is>
      </c>
      <c r="E13" s="2" t="inlineStr">
        <is>
          <t>These are planning windows, not individual-duration or daily-completion forecasts.</t>
        </is>
      </c>
      <c r="F13" s="2" t="inlineStr">
        <is>
          <t>Refine dates after dependencies and member availability are confirmed.</t>
        </is>
      </c>
      <c r="G13" s="2" t="inlineStr">
        <is>
          <t>Review</t>
        </is>
      </c>
    </row>
    <row r="14">
      <c r="A14" s="2" t="inlineStr">
        <is>
          <t>LEG-01</t>
        </is>
      </c>
      <c r="B14" s="2" t="inlineStr">
        <is>
          <t>Legend</t>
        </is>
      </c>
      <c r="C14" s="2" t="inlineStr">
        <is>
          <t>Priority</t>
        </is>
      </c>
      <c r="D14" s="2" t="inlineStr">
        <is>
          <t>High = core/milestone path; Medium = supporting scope; Low = conditional, optional or environment-dependent.</t>
        </is>
      </c>
      <c r="E14" s="2" t="inlineStr">
        <is>
          <t>Priority is a planning recommendation, not source completion status.</t>
        </is>
      </c>
      <c r="F14" s="2" t="inlineStr">
        <is>
          <t>Review priority during sprint planning.</t>
        </is>
      </c>
      <c r="G14" s="2" t="inlineStr">
        <is>
          <t>Reference</t>
        </is>
      </c>
    </row>
    <row r="15">
      <c r="A15" s="2" t="inlineStr">
        <is>
          <t>LEG-02</t>
        </is>
      </c>
      <c r="B15" s="2" t="inlineStr">
        <is>
          <t>Legend</t>
        </is>
      </c>
      <c r="C15" s="2" t="inlineStr">
        <is>
          <t>Initial Status</t>
        </is>
      </c>
      <c r="D15" s="2" t="inlineStr">
        <is>
          <t>Planned = scheduled but not verified complete. No source status was used as proof of completion.</t>
        </is>
      </c>
      <c r="E15" s="2" t="inlineStr">
        <is>
          <t>Do not interpret Planned as in progress or done.</t>
        </is>
      </c>
      <c r="F15" s="2" t="inlineStr">
        <is>
          <t>Change status only after evidence is checked.</t>
        </is>
      </c>
      <c r="G15" s="2" t="inlineStr">
        <is>
          <t>Reference</t>
        </is>
      </c>
    </row>
    <row r="16">
      <c r="A16" s="2" t="inlineStr">
        <is>
          <t>ISS-07</t>
        </is>
      </c>
      <c r="B16" s="2" t="inlineStr">
        <is>
          <t>Task granularity</t>
        </is>
      </c>
      <c r="C16" s="2" t="inlineStr">
        <is>
          <t>Broad source items</t>
        </is>
      </c>
      <c r="D16" s="2" t="inlineStr">
        <is>
          <t>Every original row maps to one sub-task. No rows were split/deleted; broad work can be refined in Jira without losing source identity.</t>
        </is>
      </c>
      <c r="E16" s="2" t="inlineStr">
        <is>
          <t>Some child tasks may need refinement when implementation details emerge.</t>
        </is>
      </c>
      <c r="F16" s="2" t="inlineStr">
        <is>
          <t>Keep Original Row ID and source wording in Jira.</t>
        </is>
      </c>
      <c r="G16" s="2" t="inlineStr">
        <is>
          <t>Review</t>
        </is>
      </c>
    </row>
    <row r="17">
      <c r="A17" s="2" t="inlineStr">
        <is>
          <t>ISS-08</t>
        </is>
      </c>
      <c r="B17" s="2" t="inlineStr">
        <is>
          <t>Environment risk</t>
        </is>
      </c>
      <c r="C17" s="2" t="inlineStr">
        <is>
          <t>External services and infrastructure</t>
        </is>
      </c>
      <c r="D17" s="2" t="inlineStr">
        <is>
          <t>No hosting account, gateway, AI key, domain or production database was confirmed.</t>
        </is>
      </c>
      <c r="E17" s="2" t="inlineStr">
        <is>
          <t>Deployment/extension items may be blocked.</t>
        </is>
      </c>
      <c r="F17" s="2" t="inlineStr">
        <is>
          <t>Confirm access/budget before committing production-only work.</t>
        </is>
      </c>
      <c r="G17" s="2" t="inlineStr">
        <is>
          <t>Open</t>
        </is>
      </c>
    </row>
  </sheetData>
  <autoFilter ref="A1:G1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3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58" customWidth="1" min="4" max="4"/>
    <col width="100" customWidth="1" min="5" max="5"/>
    <col width="16" customWidth="1" min="6" max="6"/>
    <col width="25" customWidth="1" min="7" max="7"/>
    <col width="18" customWidth="1" min="8" max="8"/>
    <col width="15" customWidth="1" min="9" max="9"/>
    <col width="15" customWidth="1" min="10" max="10"/>
    <col width="14" customWidth="1" min="11" max="11"/>
    <col width="40" customWidth="1" min="12" max="12"/>
    <col width="18" customWidth="1" min="13" max="13"/>
    <col width="35" customWidth="1" min="14" max="14"/>
    <col width="14" customWidth="1" min="15" max="15"/>
    <col width="17" customWidth="1" min="16" max="16"/>
    <col width="100" customWidth="1" min="18" max="18"/>
  </cols>
  <sheetData>
    <row r="1" ht="34" customHeight="1">
      <c r="A1" s="1" t="inlineStr">
        <is>
          <t>Issue Type</t>
        </is>
      </c>
      <c r="B1" s="1" t="inlineStr">
        <is>
          <t>Issue ID</t>
        </is>
      </c>
      <c r="C1" s="1" t="inlineStr">
        <is>
          <t>Parent ID</t>
        </is>
      </c>
      <c r="D1" s="1" t="inlineStr">
        <is>
          <t>Summary</t>
        </is>
      </c>
      <c r="E1" s="1" t="inlineStr">
        <is>
          <t>Description</t>
        </is>
      </c>
      <c r="F1" s="1" t="inlineStr">
        <is>
          <t>Assignee ID</t>
        </is>
      </c>
      <c r="G1" s="1" t="inlineStr">
        <is>
          <t>Assignee</t>
        </is>
      </c>
      <c r="H1" s="1" t="inlineStr">
        <is>
          <t>Sprint</t>
        </is>
      </c>
      <c r="I1" s="1" t="inlineStr">
        <is>
          <t>Start Date</t>
        </is>
      </c>
      <c r="J1" s="1" t="inlineStr">
        <is>
          <t>Due Date</t>
        </is>
      </c>
      <c r="K1" s="1" t="inlineStr">
        <is>
          <t>Priority</t>
        </is>
      </c>
      <c r="L1" s="1" t="inlineStr">
        <is>
          <t>Labels</t>
        </is>
      </c>
      <c r="M1" s="1" t="inlineStr">
        <is>
          <t>Original Row ID</t>
        </is>
      </c>
      <c r="N1" s="1" t="inlineStr">
        <is>
          <t>Dependencies</t>
        </is>
      </c>
      <c r="O1" s="1" t="inlineStr">
        <is>
          <t>Phase ID</t>
        </is>
      </c>
      <c r="P1" s="1" t="inlineStr">
        <is>
          <t>Task ID</t>
        </is>
      </c>
      <c r="R1" s="11" t="inlineStr">
        <is>
          <t>Import Guide</t>
        </is>
      </c>
    </row>
    <row r="2" ht="32" customHeight="1">
      <c r="A2" s="2" t="inlineStr">
        <is>
          <t>Epic</t>
        </is>
      </c>
      <c r="B2" s="2" t="inlineStr">
        <is>
          <t>PH-01</t>
        </is>
      </c>
      <c r="C2" s="2" t="inlineStr"/>
      <c r="D2" s="2" t="inlineStr">
        <is>
          <t>Discovery &amp; PA1</t>
        </is>
      </c>
      <c r="E2" s="2" t="inlineStr">
        <is>
          <t>Chốt phạm vi, actor, yêu cầu ban đầu, quy tắc cộng tác và tài liệu PA1.</t>
        </is>
      </c>
      <c r="F2" s="2" t="inlineStr"/>
      <c r="G2" s="2" t="inlineStr"/>
      <c r="H2" s="2" t="inlineStr">
        <is>
          <t>Sprint 1</t>
        </is>
      </c>
      <c r="I2" s="3" t="n">
        <v>46298</v>
      </c>
      <c r="J2" s="3" t="n">
        <v>46311</v>
      </c>
      <c r="K2" s="2" t="inlineStr">
        <is>
          <t>Medium</t>
        </is>
      </c>
      <c r="L2" s="2" t="inlineStr">
        <is>
          <t>phase,PH-01</t>
        </is>
      </c>
      <c r="M2" s="2" t="inlineStr"/>
      <c r="N2" s="2" t="inlineStr"/>
      <c r="O2" s="2" t="inlineStr">
        <is>
          <t>PH-01</t>
        </is>
      </c>
      <c r="P2" s="2" t="inlineStr"/>
      <c r="R2" s="12" t="inlineStr">
        <is>
          <t>1) Map Phase to Epic (or configure a custom Phase issue type/hierarchy).</t>
        </is>
      </c>
    </row>
    <row r="3" ht="32" customHeight="1">
      <c r="A3" s="2" t="inlineStr">
        <is>
          <t>Epic</t>
        </is>
      </c>
      <c r="B3" s="2" t="inlineStr">
        <is>
          <t>PH-02</t>
        </is>
      </c>
      <c r="C3" s="2" t="inlineStr"/>
      <c r="D3" s="2" t="inlineStr">
        <is>
          <t>Solution Design &amp; Foundations</t>
        </is>
      </c>
      <c r="E3" s="2" t="inlineStr">
        <is>
          <t>Hoàn thiện thiết kế dữ liệu, trải nghiệm, API và môi trường; khóa baseline thiết kế chi tiết.</t>
        </is>
      </c>
      <c r="F3" s="2" t="inlineStr"/>
      <c r="G3" s="2" t="inlineStr"/>
      <c r="H3" s="2" t="inlineStr">
        <is>
          <t>Sprint 2; Sprint 3</t>
        </is>
      </c>
      <c r="I3" s="3" t="n">
        <v>46312</v>
      </c>
      <c r="J3" s="3" t="n">
        <v>46339</v>
      </c>
      <c r="K3" s="2" t="inlineStr">
        <is>
          <t>Medium</t>
        </is>
      </c>
      <c r="L3" s="2" t="inlineStr">
        <is>
          <t>phase,PH-02</t>
        </is>
      </c>
      <c r="M3" s="2" t="inlineStr"/>
      <c r="N3" s="2" t="inlineStr"/>
      <c r="O3" s="2" t="inlineStr">
        <is>
          <t>PH-02</t>
        </is>
      </c>
      <c r="P3" s="2" t="inlineStr"/>
      <c r="R3" s="12" t="inlineStr">
        <is>
          <t>2) Import Phase/Epic rows first; Task rows next with Parent ID = Phase ID; Sub-task rows last with Parent ID = Task ID.</t>
        </is>
      </c>
    </row>
    <row r="4" ht="32" customHeight="1">
      <c r="A4" s="2" t="inlineStr">
        <is>
          <t>Epic</t>
        </is>
      </c>
      <c r="B4" s="2" t="inlineStr">
        <is>
          <t>PH-03</t>
        </is>
      </c>
      <c r="C4" s="2" t="inlineStr"/>
      <c r="D4" s="2" t="inlineStr">
        <is>
          <t>Core Product Build</t>
        </is>
      </c>
      <c r="E4" s="2" t="inlineStr">
        <is>
          <t>Xây nền tảng và luồng khách hàng cốt lõi, thanh toán mô phỏng, phát hành vé và kiểm thử tích hợp.</t>
        </is>
      </c>
      <c r="F4" s="2" t="inlineStr"/>
      <c r="G4" s="2" t="inlineStr"/>
      <c r="H4" s="2" t="inlineStr">
        <is>
          <t>Sprint 3; Sprint 4</t>
        </is>
      </c>
      <c r="I4" s="3" t="n">
        <v>46326</v>
      </c>
      <c r="J4" s="3" t="n">
        <v>46353</v>
      </c>
      <c r="K4" s="2" t="inlineStr">
        <is>
          <t>Medium</t>
        </is>
      </c>
      <c r="L4" s="2" t="inlineStr">
        <is>
          <t>phase,PH-03</t>
        </is>
      </c>
      <c r="M4" s="2" t="inlineStr"/>
      <c r="N4" s="2" t="inlineStr"/>
      <c r="O4" s="2" t="inlineStr">
        <is>
          <t>PH-03</t>
        </is>
      </c>
      <c r="P4" s="2" t="inlineStr"/>
      <c r="R4" s="12" t="inlineStr">
        <is>
          <t>3) Jira does not infer hierarchy from names. Confirm importer support for Parent ID / epic links before import.</t>
        </is>
      </c>
    </row>
    <row r="5" ht="32" customHeight="1">
      <c r="A5" s="2" t="inlineStr">
        <is>
          <t>Epic</t>
        </is>
      </c>
      <c r="B5" s="2" t="inlineStr">
        <is>
          <t>PH-04</t>
        </is>
      </c>
      <c r="C5" s="2" t="inlineStr"/>
      <c r="D5" s="2" t="inlineStr">
        <is>
          <t>Release, Verification &amp; Handover</t>
        </is>
      </c>
      <c r="E5" s="2" t="inlineStr">
        <is>
          <t>Hoàn thiện quản trị, hồi quy, triển khai demo, tài liệu, báo cáo và bàn giao PA5.</t>
        </is>
      </c>
      <c r="F5" s="2" t="inlineStr"/>
      <c r="G5" s="2" t="inlineStr"/>
      <c r="H5" s="2" t="inlineStr">
        <is>
          <t>Sprint 5</t>
        </is>
      </c>
      <c r="I5" s="3" t="n">
        <v>46354</v>
      </c>
      <c r="J5" s="3" t="n">
        <v>46368</v>
      </c>
      <c r="K5" s="2" t="inlineStr">
        <is>
          <t>Medium</t>
        </is>
      </c>
      <c r="L5" s="2" t="inlineStr">
        <is>
          <t>phase,PH-04</t>
        </is>
      </c>
      <c r="M5" s="2" t="inlineStr"/>
      <c r="N5" s="2" t="inlineStr"/>
      <c r="O5" s="2" t="inlineStr">
        <is>
          <t>PH-04</t>
        </is>
      </c>
      <c r="P5" s="2" t="inlineStr"/>
      <c r="R5" s="12" t="inlineStr">
        <is>
          <t>4) Map Assignee ID to actual Jira account identifiers if student IDs are not Jira usernames.</t>
        </is>
      </c>
    </row>
    <row r="6" ht="32" customHeight="1">
      <c r="A6" s="2" t="inlineStr">
        <is>
          <t>Task</t>
        </is>
      </c>
      <c r="B6" s="2" t="inlineStr">
        <is>
          <t>CIN-T-001</t>
        </is>
      </c>
      <c r="C6" s="2" t="inlineStr">
        <is>
          <t>PH-01</t>
        </is>
      </c>
      <c r="D6" s="2" t="inlineStr">
        <is>
          <t>Chốt phạm vi hệ thống và tác nhân</t>
        </is>
      </c>
      <c r="E6" s="2" t="inlineStr">
        <is>
          <t>Objective: complete the mapped source items. Acceptance: child tasks checked with evidence. Scope: Chốt phạm vi hệ thống và tác nhân.</t>
        </is>
      </c>
      <c r="F6" s="2" t="inlineStr">
        <is>
          <t>24120271</t>
        </is>
      </c>
      <c r="G6" s="2" t="inlineStr">
        <is>
          <t>Nguyen Trung Chinh</t>
        </is>
      </c>
      <c r="H6" s="2" t="inlineStr">
        <is>
          <t>Sprint 1</t>
        </is>
      </c>
      <c r="I6" s="3" t="n">
        <v>46298</v>
      </c>
      <c r="J6" s="3" t="n">
        <v>46311</v>
      </c>
      <c r="K6" s="2" t="inlineStr">
        <is>
          <t>High</t>
        </is>
      </c>
      <c r="L6" s="2" t="inlineStr">
        <is>
          <t>task,PH-01</t>
        </is>
      </c>
      <c r="M6" s="2" t="inlineStr"/>
      <c r="N6" s="2" t="inlineStr"/>
      <c r="O6" s="2" t="inlineStr">
        <is>
          <t>PH-01</t>
        </is>
      </c>
      <c r="P6" s="2" t="inlineStr">
        <is>
          <t>CIN-T-001</t>
        </is>
      </c>
      <c r="R6" s="12" t="inlineStr">
        <is>
          <t>5) Map Sprint using exact Jira sprint names/IDs; map Start Date, Due Date, Priority and Labels.</t>
        </is>
      </c>
    </row>
    <row r="7" ht="32" customHeight="1">
      <c r="A7" s="2" t="inlineStr">
        <is>
          <t>Task</t>
        </is>
      </c>
      <c r="B7" s="2" t="inlineStr">
        <is>
          <t>CIN-T-002</t>
        </is>
      </c>
      <c r="C7" s="2" t="inlineStr">
        <is>
          <t>PH-01</t>
        </is>
      </c>
      <c r="D7" s="2" t="inlineStr">
        <is>
          <t>Đặc tả luồng nghiệp vụ khách hàng và quản trị</t>
        </is>
      </c>
      <c r="E7" s="2" t="inlineStr">
        <is>
          <t>Objective: complete the mapped source items. Acceptance: child tasks checked with evidence. Scope: Đặc tả luồng nghiệp vụ khách hàng và quản trị.</t>
        </is>
      </c>
      <c r="F7" s="2" t="inlineStr">
        <is>
          <t>24120098</t>
        </is>
      </c>
      <c r="G7" s="2" t="inlineStr">
        <is>
          <t>Nguyen Quoc Nam</t>
        </is>
      </c>
      <c r="H7" s="2" t="inlineStr">
        <is>
          <t>Sprint 1</t>
        </is>
      </c>
      <c r="I7" s="3" t="n">
        <v>46298</v>
      </c>
      <c r="J7" s="3" t="n">
        <v>46311</v>
      </c>
      <c r="K7" s="2" t="inlineStr">
        <is>
          <t>High</t>
        </is>
      </c>
      <c r="L7" s="2" t="inlineStr">
        <is>
          <t>task,PH-01</t>
        </is>
      </c>
      <c r="M7" s="2" t="inlineStr"/>
      <c r="N7" s="2" t="inlineStr">
        <is>
          <t>CIN-T-001</t>
        </is>
      </c>
      <c r="O7" s="2" t="inlineStr">
        <is>
          <t>PH-01</t>
        </is>
      </c>
      <c r="P7" s="2" t="inlineStr">
        <is>
          <t>CIN-T-002</t>
        </is>
      </c>
      <c r="R7" s="12" t="inlineStr">
        <is>
          <t>6) Dependencies are references only; import issue links (blocks) separately if supported.</t>
        </is>
      </c>
    </row>
    <row r="8" ht="32" customHeight="1">
      <c r="A8" s="2" t="inlineStr">
        <is>
          <t>Task</t>
        </is>
      </c>
      <c r="B8" s="2" t="inlineStr">
        <is>
          <t>CIN-T-003</t>
        </is>
      </c>
      <c r="C8" s="2" t="inlineStr">
        <is>
          <t>PH-01</t>
        </is>
      </c>
      <c r="D8" s="2" t="inlineStr">
        <is>
          <t>Baseline yêu cầu, use case và kiến trúc sơ bộ</t>
        </is>
      </c>
      <c r="E8" s="2" t="inlineStr">
        <is>
          <t>Objective: complete the mapped source items. Acceptance: child tasks checked with evidence. Scope: Baseline yêu cầu, use case và kiến trúc sơ bộ.</t>
        </is>
      </c>
      <c r="F8" s="2" t="inlineStr">
        <is>
          <t>24120255</t>
        </is>
      </c>
      <c r="G8" s="2" t="inlineStr">
        <is>
          <t>Tran Thien An</t>
        </is>
      </c>
      <c r="H8" s="2" t="inlineStr">
        <is>
          <t>Sprint 1</t>
        </is>
      </c>
      <c r="I8" s="3" t="n">
        <v>46298</v>
      </c>
      <c r="J8" s="3" t="n">
        <v>46311</v>
      </c>
      <c r="K8" s="2" t="inlineStr">
        <is>
          <t>High</t>
        </is>
      </c>
      <c r="L8" s="2" t="inlineStr">
        <is>
          <t>task,PH-01</t>
        </is>
      </c>
      <c r="M8" s="2" t="inlineStr"/>
      <c r="N8" s="2" t="inlineStr">
        <is>
          <t>CIN-T-002</t>
        </is>
      </c>
      <c r="O8" s="2" t="inlineStr">
        <is>
          <t>PH-01</t>
        </is>
      </c>
      <c r="P8" s="2" t="inlineStr">
        <is>
          <t>CIN-T-003</t>
        </is>
      </c>
      <c r="R8" s="12" t="inlineStr">
        <is>
          <t>7) Status is intentionally omitted; this workbook represents a plan, not verified progress.</t>
        </is>
      </c>
    </row>
    <row r="9">
      <c r="A9" s="2" t="inlineStr">
        <is>
          <t>Task</t>
        </is>
      </c>
      <c r="B9" s="2" t="inlineStr">
        <is>
          <t>CIN-T-004</t>
        </is>
      </c>
      <c r="C9" s="2" t="inlineStr">
        <is>
          <t>PH-02</t>
        </is>
      </c>
      <c r="D9" s="2" t="inlineStr">
        <is>
          <t>Thiết kế dữ liệu phim, phòng, ghế và suất chiếu</t>
        </is>
      </c>
      <c r="E9" s="2" t="inlineStr">
        <is>
          <t>Objective: complete the mapped source items. Acceptance: child tasks checked with evidence. Scope: Thiết kế dữ liệu phim, phòng, ghế và suất chiếu.</t>
        </is>
      </c>
      <c r="F9" s="2" t="inlineStr">
        <is>
          <t>24120235</t>
        </is>
      </c>
      <c r="G9" s="2" t="inlineStr">
        <is>
          <t>Huynh Thanh Tu</t>
        </is>
      </c>
      <c r="H9" s="2" t="inlineStr">
        <is>
          <t>Sprint 2</t>
        </is>
      </c>
      <c r="I9" s="3" t="n">
        <v>46312</v>
      </c>
      <c r="J9" s="3" t="n">
        <v>46325</v>
      </c>
      <c r="K9" s="2" t="inlineStr">
        <is>
          <t>High</t>
        </is>
      </c>
      <c r="L9" s="2" t="inlineStr">
        <is>
          <t>task,PH-02</t>
        </is>
      </c>
      <c r="M9" s="2" t="inlineStr"/>
      <c r="N9" s="2" t="inlineStr">
        <is>
          <t>CIN-T-003</t>
        </is>
      </c>
      <c r="O9" s="2" t="inlineStr">
        <is>
          <t>PH-02</t>
        </is>
      </c>
      <c r="P9" s="2" t="inlineStr">
        <is>
          <t>CIN-T-004</t>
        </is>
      </c>
    </row>
    <row r="10">
      <c r="A10" s="2" t="inlineStr">
        <is>
          <t>Task</t>
        </is>
      </c>
      <c r="B10" s="2" t="inlineStr">
        <is>
          <t>CIN-T-005</t>
        </is>
      </c>
      <c r="C10" s="2" t="inlineStr">
        <is>
          <t>PH-02</t>
        </is>
      </c>
      <c r="D10" s="2" t="inlineStr">
        <is>
          <t>Thiết kế dữ liệu booking, ticket, payment và user</t>
        </is>
      </c>
      <c r="E10" s="2" t="inlineStr">
        <is>
          <t>Objective: complete the mapped source items. Acceptance: child tasks checked with evidence. Scope: Thiết kế dữ liệu booking, ticket, payment và user.</t>
        </is>
      </c>
      <c r="F10" s="2" t="inlineStr">
        <is>
          <t>24120271</t>
        </is>
      </c>
      <c r="G10" s="2" t="inlineStr">
        <is>
          <t>Nguyen Trung Chinh</t>
        </is>
      </c>
      <c r="H10" s="2" t="inlineStr">
        <is>
          <t>Sprint 2</t>
        </is>
      </c>
      <c r="I10" s="3" t="n">
        <v>46312</v>
      </c>
      <c r="J10" s="3" t="n">
        <v>46325</v>
      </c>
      <c r="K10" s="2" t="inlineStr">
        <is>
          <t>High</t>
        </is>
      </c>
      <c r="L10" s="2" t="inlineStr">
        <is>
          <t>task,PH-02</t>
        </is>
      </c>
      <c r="M10" s="2" t="inlineStr"/>
      <c r="N10" s="2" t="inlineStr">
        <is>
          <t>CIN-T-004</t>
        </is>
      </c>
      <c r="O10" s="2" t="inlineStr">
        <is>
          <t>PH-02</t>
        </is>
      </c>
      <c r="P10" s="2" t="inlineStr">
        <is>
          <t>CIN-T-005</t>
        </is>
      </c>
    </row>
    <row r="11">
      <c r="A11" s="2" t="inlineStr">
        <is>
          <t>Task</t>
        </is>
      </c>
      <c r="B11" s="2" t="inlineStr">
        <is>
          <t>CIN-T-006</t>
        </is>
      </c>
      <c r="C11" s="2" t="inlineStr">
        <is>
          <t>PH-02</t>
        </is>
      </c>
      <c r="D11" s="2" t="inlineStr">
        <is>
          <t>Xác định quan hệ, ràng buộc và tính toàn vẹn dữ liệu</t>
        </is>
      </c>
      <c r="E11" s="2" t="inlineStr">
        <is>
          <t>Objective: complete the mapped source items. Acceptance: child tasks checked with evidence. Scope: Xác định quan hệ, ràng buộc và tính toàn vẹn dữ liệu.</t>
        </is>
      </c>
      <c r="F11" s="2" t="inlineStr">
        <is>
          <t>24120244</t>
        </is>
      </c>
      <c r="G11" s="2" t="inlineStr">
        <is>
          <t>Phan Van Viet</t>
        </is>
      </c>
      <c r="H11" s="2" t="inlineStr">
        <is>
          <t>Sprint 2</t>
        </is>
      </c>
      <c r="I11" s="3" t="n">
        <v>46312</v>
      </c>
      <c r="J11" s="3" t="n">
        <v>46325</v>
      </c>
      <c r="K11" s="2" t="inlineStr">
        <is>
          <t>High</t>
        </is>
      </c>
      <c r="L11" s="2" t="inlineStr">
        <is>
          <t>task,PH-02</t>
        </is>
      </c>
      <c r="M11" s="2" t="inlineStr"/>
      <c r="N11" s="2" t="inlineStr">
        <is>
          <t>CIN-T-005</t>
        </is>
      </c>
      <c r="O11" s="2" t="inlineStr">
        <is>
          <t>PH-02</t>
        </is>
      </c>
      <c r="P11" s="2" t="inlineStr">
        <is>
          <t>CIN-T-006</t>
        </is>
      </c>
    </row>
    <row r="12">
      <c r="A12" s="2" t="inlineStr">
        <is>
          <t>Task</t>
        </is>
      </c>
      <c r="B12" s="2" t="inlineStr">
        <is>
          <t>CIN-T-007</t>
        </is>
      </c>
      <c r="C12" s="2" t="inlineStr">
        <is>
          <t>PH-02</t>
        </is>
      </c>
      <c r="D12" s="2" t="inlineStr">
        <is>
          <t>Hoàn tất ERD và relational schema</t>
        </is>
      </c>
      <c r="E12" s="2" t="inlineStr">
        <is>
          <t>Objective: complete the mapped source items. Acceptance: child tasks checked with evidence. Scope: Hoàn tất ERD và relational schema.</t>
        </is>
      </c>
      <c r="F12" s="2" t="inlineStr">
        <is>
          <t>24120271</t>
        </is>
      </c>
      <c r="G12" s="2" t="inlineStr">
        <is>
          <t>Nguyen Trung Chinh</t>
        </is>
      </c>
      <c r="H12" s="2" t="inlineStr">
        <is>
          <t>Sprint 2</t>
        </is>
      </c>
      <c r="I12" s="3" t="n">
        <v>46312</v>
      </c>
      <c r="J12" s="3" t="n">
        <v>46325</v>
      </c>
      <c r="K12" s="2" t="inlineStr">
        <is>
          <t>High</t>
        </is>
      </c>
      <c r="L12" s="2" t="inlineStr">
        <is>
          <t>task,PH-02</t>
        </is>
      </c>
      <c r="M12" s="2" t="inlineStr"/>
      <c r="N12" s="2" t="inlineStr">
        <is>
          <t>CIN-T-006</t>
        </is>
      </c>
      <c r="O12" s="2" t="inlineStr">
        <is>
          <t>PH-02</t>
        </is>
      </c>
      <c r="P12" s="2" t="inlineStr">
        <is>
          <t>CIN-T-007</t>
        </is>
      </c>
    </row>
    <row r="13">
      <c r="A13" s="2" t="inlineStr">
        <is>
          <t>Task</t>
        </is>
      </c>
      <c r="B13" s="2" t="inlineStr">
        <is>
          <t>CIN-T-008</t>
        </is>
      </c>
      <c r="C13" s="2" t="inlineStr">
        <is>
          <t>PH-02</t>
        </is>
      </c>
      <c r="D13" s="2" t="inlineStr">
        <is>
          <t>Thiết kế luồng, màn hình và điều hướng Customer</t>
        </is>
      </c>
      <c r="E13" s="2" t="inlineStr">
        <is>
          <t>Objective: complete the mapped source items. Acceptance: child tasks checked with evidence. Scope: Thiết kế luồng, màn hình và điều hướng Customer.</t>
        </is>
      </c>
      <c r="F13" s="2" t="inlineStr">
        <is>
          <t>24120255</t>
        </is>
      </c>
      <c r="G13" s="2" t="inlineStr">
        <is>
          <t>Tran Thien An</t>
        </is>
      </c>
      <c r="H13" s="2" t="inlineStr">
        <is>
          <t>Sprint 2</t>
        </is>
      </c>
      <c r="I13" s="3" t="n">
        <v>46312</v>
      </c>
      <c r="J13" s="3" t="n">
        <v>46325</v>
      </c>
      <c r="K13" s="2" t="inlineStr">
        <is>
          <t>High</t>
        </is>
      </c>
      <c r="L13" s="2" t="inlineStr">
        <is>
          <t>task,PH-02</t>
        </is>
      </c>
      <c r="M13" s="2" t="inlineStr"/>
      <c r="N13" s="2" t="inlineStr">
        <is>
          <t>CIN-T-003</t>
        </is>
      </c>
      <c r="O13" s="2" t="inlineStr">
        <is>
          <t>PH-02</t>
        </is>
      </c>
      <c r="P13" s="2" t="inlineStr">
        <is>
          <t>CIN-T-008</t>
        </is>
      </c>
    </row>
    <row r="14">
      <c r="A14" s="2" t="inlineStr">
        <is>
          <t>Task</t>
        </is>
      </c>
      <c r="B14" s="2" t="inlineStr">
        <is>
          <t>CIN-T-009</t>
        </is>
      </c>
      <c r="C14" s="2" t="inlineStr">
        <is>
          <t>PH-02</t>
        </is>
      </c>
      <c r="D14" s="2" t="inlineStr">
        <is>
          <t>Đặc tả các màn hình Customer</t>
        </is>
      </c>
      <c r="E14" s="2" t="inlineStr">
        <is>
          <t>Objective: complete the mapped source items. Acceptance: child tasks checked with evidence. Scope: Đặc tả các màn hình Customer.</t>
        </is>
      </c>
      <c r="F14" s="2" t="inlineStr">
        <is>
          <t>24120244</t>
        </is>
      </c>
      <c r="G14" s="2" t="inlineStr">
        <is>
          <t>Phan Van Viet</t>
        </is>
      </c>
      <c r="H14" s="2" t="inlineStr">
        <is>
          <t>Sprint 2</t>
        </is>
      </c>
      <c r="I14" s="3" t="n">
        <v>46312</v>
      </c>
      <c r="J14" s="3" t="n">
        <v>46325</v>
      </c>
      <c r="K14" s="2" t="inlineStr">
        <is>
          <t>High</t>
        </is>
      </c>
      <c r="L14" s="2" t="inlineStr">
        <is>
          <t>task,PH-02</t>
        </is>
      </c>
      <c r="M14" s="2" t="inlineStr"/>
      <c r="N14" s="2" t="inlineStr">
        <is>
          <t>CIN-T-008</t>
        </is>
      </c>
      <c r="O14" s="2" t="inlineStr">
        <is>
          <t>PH-02</t>
        </is>
      </c>
      <c r="P14" s="2" t="inlineStr">
        <is>
          <t>CIN-T-009</t>
        </is>
      </c>
    </row>
    <row r="15">
      <c r="A15" s="2" t="inlineStr">
        <is>
          <t>Task</t>
        </is>
      </c>
      <c r="B15" s="2" t="inlineStr">
        <is>
          <t>CIN-T-010</t>
        </is>
      </c>
      <c r="C15" s="2" t="inlineStr">
        <is>
          <t>PH-02</t>
        </is>
      </c>
      <c r="D15" s="2" t="inlineStr">
        <is>
          <t>Xác định component, UI state, dữ liệu và responsive behavior</t>
        </is>
      </c>
      <c r="E15" s="2" t="inlineStr">
        <is>
          <t>Objective: complete the mapped source items. Acceptance: child tasks checked with evidence. Scope: Xác định component, UI state, dữ liệu và responsive behavior.</t>
        </is>
      </c>
      <c r="F15" s="2" t="inlineStr">
        <is>
          <t>24120255</t>
        </is>
      </c>
      <c r="G15" s="2" t="inlineStr">
        <is>
          <t>Tran Thien An</t>
        </is>
      </c>
      <c r="H15" s="2" t="inlineStr">
        <is>
          <t>Sprint 2</t>
        </is>
      </c>
      <c r="I15" s="3" t="n">
        <v>46312</v>
      </c>
      <c r="J15" s="3" t="n">
        <v>46325</v>
      </c>
      <c r="K15" s="2" t="inlineStr">
        <is>
          <t>Medium</t>
        </is>
      </c>
      <c r="L15" s="2" t="inlineStr">
        <is>
          <t>task,PH-02</t>
        </is>
      </c>
      <c r="M15" s="2" t="inlineStr"/>
      <c r="N15" s="2" t="inlineStr">
        <is>
          <t>CIN-T-009</t>
        </is>
      </c>
      <c r="O15" s="2" t="inlineStr">
        <is>
          <t>PH-02</t>
        </is>
      </c>
      <c r="P15" s="2" t="inlineStr">
        <is>
          <t>CIN-T-010</t>
        </is>
      </c>
    </row>
    <row r="16">
      <c r="A16" s="2" t="inlineStr">
        <is>
          <t>Task</t>
        </is>
      </c>
      <c r="B16" s="2" t="inlineStr">
        <is>
          <t>CIN-T-011</t>
        </is>
      </c>
      <c r="C16" s="2" t="inlineStr">
        <is>
          <t>PH-02</t>
        </is>
      </c>
      <c r="D16" s="2" t="inlineStr">
        <is>
          <t>Chốt API contract và chính sách truy cập</t>
        </is>
      </c>
      <c r="E16" s="2" t="inlineStr">
        <is>
          <t>Objective: complete the mapped source items. Acceptance: child tasks checked with evidence. Scope: Chốt API contract và chính sách truy cập.</t>
        </is>
      </c>
      <c r="F16" s="2" t="inlineStr">
        <is>
          <t>24120244</t>
        </is>
      </c>
      <c r="G16" s="2" t="inlineStr">
        <is>
          <t>Phan Van Viet</t>
        </is>
      </c>
      <c r="H16" s="2" t="inlineStr">
        <is>
          <t>Sprint 2</t>
        </is>
      </c>
      <c r="I16" s="3" t="n">
        <v>46312</v>
      </c>
      <c r="J16" s="3" t="n">
        <v>46325</v>
      </c>
      <c r="K16" s="2" t="inlineStr">
        <is>
          <t>High</t>
        </is>
      </c>
      <c r="L16" s="2" t="inlineStr">
        <is>
          <t>task,PH-02</t>
        </is>
      </c>
      <c r="M16" s="2" t="inlineStr"/>
      <c r="N16" s="2" t="inlineStr">
        <is>
          <t>CIN-T-007, CIN-T-003</t>
        </is>
      </c>
      <c r="O16" s="2" t="inlineStr">
        <is>
          <t>PH-02</t>
        </is>
      </c>
      <c r="P16" s="2" t="inlineStr">
        <is>
          <t>CIN-T-011</t>
        </is>
      </c>
    </row>
    <row r="17">
      <c r="A17" s="2" t="inlineStr">
        <is>
          <t>Task</t>
        </is>
      </c>
      <c r="B17" s="2" t="inlineStr">
        <is>
          <t>CIN-T-012</t>
        </is>
      </c>
      <c r="C17" s="2" t="inlineStr">
        <is>
          <t>PH-01</t>
        </is>
      </c>
      <c r="D17" s="2" t="inlineStr">
        <is>
          <t>Thiết lập quy tắc cộng tác và cấu trúc repository</t>
        </is>
      </c>
      <c r="E17" s="2" t="inlineStr">
        <is>
          <t>Objective: complete the mapped source items. Acceptance: child tasks checked with evidence. Scope: Thiết lập quy tắc cộng tác và cấu trúc repository.</t>
        </is>
      </c>
      <c r="F17" s="2" t="inlineStr">
        <is>
          <t>24120098</t>
        </is>
      </c>
      <c r="G17" s="2" t="inlineStr">
        <is>
          <t>Nguyen Quoc Nam</t>
        </is>
      </c>
      <c r="H17" s="2" t="inlineStr">
        <is>
          <t>Sprint 1</t>
        </is>
      </c>
      <c r="I17" s="3" t="n">
        <v>46298</v>
      </c>
      <c r="J17" s="3" t="n">
        <v>46311</v>
      </c>
      <c r="K17" s="2" t="inlineStr">
        <is>
          <t>Medium</t>
        </is>
      </c>
      <c r="L17" s="2" t="inlineStr">
        <is>
          <t>task,PH-01</t>
        </is>
      </c>
      <c r="M17" s="2" t="inlineStr"/>
      <c r="N17" s="2" t="inlineStr"/>
      <c r="O17" s="2" t="inlineStr">
        <is>
          <t>PH-01</t>
        </is>
      </c>
      <c r="P17" s="2" t="inlineStr">
        <is>
          <t>CIN-T-012</t>
        </is>
      </c>
    </row>
    <row r="18">
      <c r="A18" s="2" t="inlineStr">
        <is>
          <t>Task</t>
        </is>
      </c>
      <c r="B18" s="2" t="inlineStr">
        <is>
          <t>CIN-T-013</t>
        </is>
      </c>
      <c r="C18" s="2" t="inlineStr">
        <is>
          <t>PH-03</t>
        </is>
      </c>
      <c r="D18" s="2" t="inlineStr">
        <is>
          <t>Xây persistence và khởi tạo database bằng EF Core</t>
        </is>
      </c>
      <c r="E18" s="2" t="inlineStr">
        <is>
          <t>Objective: complete the mapped source items. Acceptance: child tasks checked with evidence. Scope: Xây persistence và khởi tạo database bằng EF Core.</t>
        </is>
      </c>
      <c r="F18" s="2" t="inlineStr">
        <is>
          <t>24120271</t>
        </is>
      </c>
      <c r="G18" s="2" t="inlineStr">
        <is>
          <t>Nguyen Trung Chinh</t>
        </is>
      </c>
      <c r="H18" s="2" t="inlineStr">
        <is>
          <t>Sprint 3</t>
        </is>
      </c>
      <c r="I18" s="3" t="n">
        <v>46326</v>
      </c>
      <c r="J18" s="3" t="n">
        <v>46339</v>
      </c>
      <c r="K18" s="2" t="inlineStr">
        <is>
          <t>High</t>
        </is>
      </c>
      <c r="L18" s="2" t="inlineStr">
        <is>
          <t>task,PH-03</t>
        </is>
      </c>
      <c r="M18" s="2" t="inlineStr"/>
      <c r="N18" s="2" t="inlineStr">
        <is>
          <t>CIN-T-007, CIN-T-037</t>
        </is>
      </c>
      <c r="O18" s="2" t="inlineStr">
        <is>
          <t>PH-03</t>
        </is>
      </c>
      <c r="P18" s="2" t="inlineStr">
        <is>
          <t>CIN-T-013</t>
        </is>
      </c>
    </row>
    <row r="19">
      <c r="A19" s="2" t="inlineStr">
        <is>
          <t>Task</t>
        </is>
      </c>
      <c r="B19" s="2" t="inlineStr">
        <is>
          <t>CIN-T-014</t>
        </is>
      </c>
      <c r="C19" s="2" t="inlineStr">
        <is>
          <t>PH-02</t>
        </is>
      </c>
      <c r="D19" s="2" t="inlineStr">
        <is>
          <t>Định nghĩa REST API và DTO foundation</t>
        </is>
      </c>
      <c r="E19" s="2" t="inlineStr">
        <is>
          <t>Objective: complete the mapped source items. Acceptance: child tasks checked with evidence. Scope: Định nghĩa REST API và DTO foundation.</t>
        </is>
      </c>
      <c r="F19" s="2" t="inlineStr">
        <is>
          <t>24120244</t>
        </is>
      </c>
      <c r="G19" s="2" t="inlineStr">
        <is>
          <t>Phan Van Viet</t>
        </is>
      </c>
      <c r="H19" s="2" t="inlineStr">
        <is>
          <t>Sprint 3</t>
        </is>
      </c>
      <c r="I19" s="3" t="n">
        <v>46326</v>
      </c>
      <c r="J19" s="3" t="n">
        <v>46339</v>
      </c>
      <c r="K19" s="2" t="inlineStr">
        <is>
          <t>High</t>
        </is>
      </c>
      <c r="L19" s="2" t="inlineStr">
        <is>
          <t>task,PH-02</t>
        </is>
      </c>
      <c r="M19" s="2" t="inlineStr"/>
      <c r="N19" s="2" t="inlineStr">
        <is>
          <t>CIN-T-011, CIN-T-007</t>
        </is>
      </c>
      <c r="O19" s="2" t="inlineStr">
        <is>
          <t>PH-02</t>
        </is>
      </c>
      <c r="P19" s="2" t="inlineStr">
        <is>
          <t>CIN-T-014</t>
        </is>
      </c>
    </row>
    <row r="20">
      <c r="A20" s="2" t="inlineStr">
        <is>
          <t>Task</t>
        </is>
      </c>
      <c r="B20" s="2" t="inlineStr">
        <is>
          <t>CIN-T-015</t>
        </is>
      </c>
      <c r="C20" s="2" t="inlineStr">
        <is>
          <t>PH-03</t>
        </is>
      </c>
      <c r="D20" s="2" t="inlineStr">
        <is>
          <t>Triển khai API phim, rạp, ghế, vé và lịch chiếu</t>
        </is>
      </c>
      <c r="E20" s="2" t="inlineStr">
        <is>
          <t>Objective: complete the mapped source items. Acceptance: child tasks checked with evidence. Scope: Triển khai API phim, rạp, ghế, vé và lịch chiếu.</t>
        </is>
      </c>
      <c r="F20" s="2" t="inlineStr">
        <is>
          <t>24120255</t>
        </is>
      </c>
      <c r="G20" s="2" t="inlineStr">
        <is>
          <t>Tran Thien An</t>
        </is>
      </c>
      <c r="H20" s="2" t="inlineStr">
        <is>
          <t>Sprint 3</t>
        </is>
      </c>
      <c r="I20" s="3" t="n">
        <v>46326</v>
      </c>
      <c r="J20" s="3" t="n">
        <v>46339</v>
      </c>
      <c r="K20" s="2" t="inlineStr">
        <is>
          <t>High</t>
        </is>
      </c>
      <c r="L20" s="2" t="inlineStr">
        <is>
          <t>task,PH-03</t>
        </is>
      </c>
      <c r="M20" s="2" t="inlineStr"/>
      <c r="N20" s="2" t="inlineStr">
        <is>
          <t>CIN-T-013, CIN-T-014</t>
        </is>
      </c>
      <c r="O20" s="2" t="inlineStr">
        <is>
          <t>PH-03</t>
        </is>
      </c>
      <c r="P20" s="2" t="inlineStr">
        <is>
          <t>CIN-T-015</t>
        </is>
      </c>
    </row>
    <row r="21">
      <c r="A21" s="2" t="inlineStr">
        <is>
          <t>Task</t>
        </is>
      </c>
      <c r="B21" s="2" t="inlineStr">
        <is>
          <t>CIN-T-016</t>
        </is>
      </c>
      <c r="C21" s="2" t="inlineStr">
        <is>
          <t>PH-03</t>
        </is>
      </c>
      <c r="D21" s="2" t="inlineStr">
        <is>
          <t>Triển khai API booking, ticket và payment</t>
        </is>
      </c>
      <c r="E21" s="2" t="inlineStr">
        <is>
          <t>Objective: complete the mapped source items. Acceptance: child tasks checked with evidence. Scope: Triển khai API booking, ticket và payment.</t>
        </is>
      </c>
      <c r="F21" s="2" t="inlineStr">
        <is>
          <t>24120255</t>
        </is>
      </c>
      <c r="G21" s="2" t="inlineStr">
        <is>
          <t>Tran Thien An</t>
        </is>
      </c>
      <c r="H21" s="2" t="inlineStr">
        <is>
          <t>Sprint 4</t>
        </is>
      </c>
      <c r="I21" s="3" t="n">
        <v>46340</v>
      </c>
      <c r="J21" s="3" t="n">
        <v>46353</v>
      </c>
      <c r="K21" s="2" t="inlineStr">
        <is>
          <t>High</t>
        </is>
      </c>
      <c r="L21" s="2" t="inlineStr">
        <is>
          <t>task,PH-03</t>
        </is>
      </c>
      <c r="M21" s="2" t="inlineStr"/>
      <c r="N21" s="2" t="inlineStr">
        <is>
          <t>CIN-T-015, CIN-T-022, CIN-T-023</t>
        </is>
      </c>
      <c r="O21" s="2" t="inlineStr">
        <is>
          <t>PH-03</t>
        </is>
      </c>
      <c r="P21" s="2" t="inlineStr">
        <is>
          <t>CIN-T-016</t>
        </is>
      </c>
    </row>
    <row r="22">
      <c r="A22" s="2" t="inlineStr">
        <is>
          <t>Task</t>
        </is>
      </c>
      <c r="B22" s="2" t="inlineStr">
        <is>
          <t>CIN-T-017</t>
        </is>
      </c>
      <c r="C22" s="2" t="inlineStr">
        <is>
          <t>PH-04</t>
        </is>
      </c>
      <c r="D22" s="2" t="inlineStr">
        <is>
          <t>Triển khai API user và statistics cơ bản</t>
        </is>
      </c>
      <c r="E22" s="2" t="inlineStr">
        <is>
          <t>Objective: complete the mapped source items. Acceptance: child tasks checked with evidence. Scope: Triển khai API user và statistics cơ bản.</t>
        </is>
      </c>
      <c r="F22" s="2" t="inlineStr">
        <is>
          <t>24120255</t>
        </is>
      </c>
      <c r="G22" s="2" t="inlineStr">
        <is>
          <t>Tran Thien An</t>
        </is>
      </c>
      <c r="H22" s="2" t="inlineStr">
        <is>
          <t>Sprint 5</t>
        </is>
      </c>
      <c r="I22" s="3" t="n">
        <v>46354</v>
      </c>
      <c r="J22" s="3" t="n">
        <v>46368</v>
      </c>
      <c r="K22" s="2" t="inlineStr">
        <is>
          <t>Medium</t>
        </is>
      </c>
      <c r="L22" s="2" t="inlineStr">
        <is>
          <t>task,PH-04</t>
        </is>
      </c>
      <c r="M22" s="2" t="inlineStr"/>
      <c r="N22" s="2" t="inlineStr">
        <is>
          <t>CIN-T-019, CIN-T-015</t>
        </is>
      </c>
      <c r="O22" s="2" t="inlineStr">
        <is>
          <t>PH-04</t>
        </is>
      </c>
      <c r="P22" s="2" t="inlineStr">
        <is>
          <t>CIN-T-017</t>
        </is>
      </c>
    </row>
    <row r="23">
      <c r="A23" s="2" t="inlineStr">
        <is>
          <t>Task</t>
        </is>
      </c>
      <c r="B23" s="2" t="inlineStr">
        <is>
          <t>CIN-T-018</t>
        </is>
      </c>
      <c r="C23" s="2" t="inlineStr">
        <is>
          <t>PH-03</t>
        </is>
      </c>
      <c r="D23" s="2" t="inlineStr">
        <is>
          <t>Chuẩn hóa API response và tài liệu OpenAPI</t>
        </is>
      </c>
      <c r="E23" s="2" t="inlineStr">
        <is>
          <t>Objective: complete the mapped source items. Acceptance: child tasks checked with evidence. Scope: Chuẩn hóa API response và tài liệu OpenAPI.</t>
        </is>
      </c>
      <c r="F23" s="2" t="inlineStr">
        <is>
          <t>24120235</t>
        </is>
      </c>
      <c r="G23" s="2" t="inlineStr">
        <is>
          <t>Huynh Thanh Tu</t>
        </is>
      </c>
      <c r="H23" s="2" t="inlineStr">
        <is>
          <t>Sprint 3</t>
        </is>
      </c>
      <c r="I23" s="3" t="n">
        <v>46326</v>
      </c>
      <c r="J23" s="3" t="n">
        <v>46339</v>
      </c>
      <c r="K23" s="2" t="inlineStr">
        <is>
          <t>Medium</t>
        </is>
      </c>
      <c r="L23" s="2" t="inlineStr">
        <is>
          <t>task,PH-03</t>
        </is>
      </c>
      <c r="M23" s="2" t="inlineStr"/>
      <c r="N23" s="2" t="inlineStr">
        <is>
          <t>CIN-T-014</t>
        </is>
      </c>
      <c r="O23" s="2" t="inlineStr">
        <is>
          <t>PH-03</t>
        </is>
      </c>
      <c r="P23" s="2" t="inlineStr">
        <is>
          <t>CIN-T-018</t>
        </is>
      </c>
    </row>
    <row r="24">
      <c r="A24" s="2" t="inlineStr">
        <is>
          <t>Task</t>
        </is>
      </c>
      <c r="B24" s="2" t="inlineStr">
        <is>
          <t>CIN-T-019</t>
        </is>
      </c>
      <c r="C24" s="2" t="inlineStr">
        <is>
          <t>PH-03</t>
        </is>
      </c>
      <c r="D24" s="2" t="inlineStr">
        <is>
          <t>Triển khai đăng ký, đăng nhập và phân quyền</t>
        </is>
      </c>
      <c r="E24" s="2" t="inlineStr">
        <is>
          <t>Objective: complete the mapped source items. Acceptance: child tasks checked with evidence. Scope: Triển khai đăng ký, đăng nhập và phân quyền.</t>
        </is>
      </c>
      <c r="F24" s="2" t="inlineStr">
        <is>
          <t>24120244</t>
        </is>
      </c>
      <c r="G24" s="2" t="inlineStr">
        <is>
          <t>Phan Van Viet</t>
        </is>
      </c>
      <c r="H24" s="2" t="inlineStr">
        <is>
          <t>Sprint 3</t>
        </is>
      </c>
      <c r="I24" s="3" t="n">
        <v>46326</v>
      </c>
      <c r="J24" s="3" t="n">
        <v>46339</v>
      </c>
      <c r="K24" s="2" t="inlineStr">
        <is>
          <t>High</t>
        </is>
      </c>
      <c r="L24" s="2" t="inlineStr">
        <is>
          <t>task,PH-03</t>
        </is>
      </c>
      <c r="M24" s="2" t="inlineStr"/>
      <c r="N24" s="2" t="inlineStr">
        <is>
          <t>CIN-T-013, CIN-T-014, CIN-T-003</t>
        </is>
      </c>
      <c r="O24" s="2" t="inlineStr">
        <is>
          <t>PH-03</t>
        </is>
      </c>
      <c r="P24" s="2" t="inlineStr">
        <is>
          <t>CIN-T-019</t>
        </is>
      </c>
    </row>
    <row r="25">
      <c r="A25" s="2" t="inlineStr">
        <is>
          <t>Task</t>
        </is>
      </c>
      <c r="B25" s="2" t="inlineStr">
        <is>
          <t>CIN-T-020</t>
        </is>
      </c>
      <c r="C25" s="2" t="inlineStr">
        <is>
          <t>PH-03</t>
        </is>
      </c>
      <c r="D25" s="2" t="inlineStr">
        <is>
          <t>Xây nghiệp vụ quản lý phim, phòng, ghế và loại vé</t>
        </is>
      </c>
      <c r="E25" s="2" t="inlineStr">
        <is>
          <t>Objective: complete the mapped source items. Acceptance: child tasks checked with evidence. Scope: Xây nghiệp vụ quản lý phim, phòng, ghế và loại vé.</t>
        </is>
      </c>
      <c r="F25" s="2" t="inlineStr">
        <is>
          <t>24120271</t>
        </is>
      </c>
      <c r="G25" s="2" t="inlineStr">
        <is>
          <t>Nguyen Trung Chinh</t>
        </is>
      </c>
      <c r="H25" s="2" t="inlineStr">
        <is>
          <t>Sprint 3</t>
        </is>
      </c>
      <c r="I25" s="3" t="n">
        <v>46326</v>
      </c>
      <c r="J25" s="3" t="n">
        <v>46339</v>
      </c>
      <c r="K25" s="2" t="inlineStr">
        <is>
          <t>High</t>
        </is>
      </c>
      <c r="L25" s="2" t="inlineStr">
        <is>
          <t>task,PH-03</t>
        </is>
      </c>
      <c r="M25" s="2" t="inlineStr"/>
      <c r="N25" s="2" t="inlineStr">
        <is>
          <t>CIN-T-015, CIN-T-019</t>
        </is>
      </c>
      <c r="O25" s="2" t="inlineStr">
        <is>
          <t>PH-03</t>
        </is>
      </c>
      <c r="P25" s="2" t="inlineStr">
        <is>
          <t>CIN-T-020</t>
        </is>
      </c>
    </row>
    <row r="26">
      <c r="A26" s="2" t="inlineStr">
        <is>
          <t>Task</t>
        </is>
      </c>
      <c r="B26" s="2" t="inlineStr">
        <is>
          <t>CIN-T-021</t>
        </is>
      </c>
      <c r="C26" s="2" t="inlineStr">
        <is>
          <t>PH-03</t>
        </is>
      </c>
      <c r="D26" s="2" t="inlineStr">
        <is>
          <t>Xây nghiệp vụ suất chiếu và kiểm tra lịch</t>
        </is>
      </c>
      <c r="E26" s="2" t="inlineStr">
        <is>
          <t>Objective: complete the mapped source items. Acceptance: child tasks checked with evidence. Scope: Xây nghiệp vụ suất chiếu và kiểm tra lịch.</t>
        </is>
      </c>
      <c r="F26" s="2" t="inlineStr">
        <is>
          <t>24120098</t>
        </is>
      </c>
      <c r="G26" s="2" t="inlineStr">
        <is>
          <t>Nguyen Quoc Nam</t>
        </is>
      </c>
      <c r="H26" s="2" t="inlineStr">
        <is>
          <t>Sprint 3</t>
        </is>
      </c>
      <c r="I26" s="3" t="n">
        <v>46326</v>
      </c>
      <c r="J26" s="3" t="n">
        <v>46339</v>
      </c>
      <c r="K26" s="2" t="inlineStr">
        <is>
          <t>High</t>
        </is>
      </c>
      <c r="L26" s="2" t="inlineStr">
        <is>
          <t>task,PH-03</t>
        </is>
      </c>
      <c r="M26" s="2" t="inlineStr"/>
      <c r="N26" s="2" t="inlineStr">
        <is>
          <t>CIN-T-020</t>
        </is>
      </c>
      <c r="O26" s="2" t="inlineStr">
        <is>
          <t>PH-03</t>
        </is>
      </c>
      <c r="P26" s="2" t="inlineStr">
        <is>
          <t>CIN-T-021</t>
        </is>
      </c>
    </row>
    <row r="27">
      <c r="A27" s="2" t="inlineStr">
        <is>
          <t>Task</t>
        </is>
      </c>
      <c r="B27" s="2" t="inlineStr">
        <is>
          <t>CIN-T-022</t>
        </is>
      </c>
      <c r="C27" s="2" t="inlineStr">
        <is>
          <t>PH-03</t>
        </is>
      </c>
      <c r="D27" s="2" t="inlineStr">
        <is>
          <t>Triển khai chọn ghế, giữ chỗ và tạo booking an toàn</t>
        </is>
      </c>
      <c r="E27" s="2" t="inlineStr">
        <is>
          <t>Objective: complete the mapped source items. Acceptance: child tasks checked with evidence. Scope: Triển khai chọn ghế, giữ chỗ và tạo booking an toàn.</t>
        </is>
      </c>
      <c r="F27" s="2" t="inlineStr">
        <is>
          <t>24120098</t>
        </is>
      </c>
      <c r="G27" s="2" t="inlineStr">
        <is>
          <t>Nguyen Quoc Nam</t>
        </is>
      </c>
      <c r="H27" s="2" t="inlineStr">
        <is>
          <t>Sprint 4</t>
        </is>
      </c>
      <c r="I27" s="3" t="n">
        <v>46340</v>
      </c>
      <c r="J27" s="3" t="n">
        <v>46353</v>
      </c>
      <c r="K27" s="2" t="inlineStr">
        <is>
          <t>High</t>
        </is>
      </c>
      <c r="L27" s="2" t="inlineStr">
        <is>
          <t>task,PH-03</t>
        </is>
      </c>
      <c r="M27" s="2" t="inlineStr"/>
      <c r="N27" s="2" t="inlineStr">
        <is>
          <t>CIN-T-021, CIN-T-019, CIN-T-014</t>
        </is>
      </c>
      <c r="O27" s="2" t="inlineStr">
        <is>
          <t>PH-03</t>
        </is>
      </c>
      <c r="P27" s="2" t="inlineStr">
        <is>
          <t>CIN-T-022</t>
        </is>
      </c>
    </row>
    <row r="28">
      <c r="A28" s="2" t="inlineStr">
        <is>
          <t>Task</t>
        </is>
      </c>
      <c r="B28" s="2" t="inlineStr">
        <is>
          <t>CIN-T-023</t>
        </is>
      </c>
      <c r="C28" s="2" t="inlineStr">
        <is>
          <t>PH-03</t>
        </is>
      </c>
      <c r="D28" s="2" t="inlineStr">
        <is>
          <t>Triển khai thanh toán mô phỏng và trạng thái giao dịch</t>
        </is>
      </c>
      <c r="E28" s="2" t="inlineStr">
        <is>
          <t>Objective: complete the mapped source items. Acceptance: child tasks checked with evidence. Scope: Triển khai thanh toán mô phỏng và trạng thái giao dịch.</t>
        </is>
      </c>
      <c r="F28" s="2" t="inlineStr">
        <is>
          <t>24120255</t>
        </is>
      </c>
      <c r="G28" s="2" t="inlineStr">
        <is>
          <t>Tran Thien An</t>
        </is>
      </c>
      <c r="H28" s="2" t="inlineStr">
        <is>
          <t>Sprint 4</t>
        </is>
      </c>
      <c r="I28" s="3" t="n">
        <v>46340</v>
      </c>
      <c r="J28" s="3" t="n">
        <v>46353</v>
      </c>
      <c r="K28" s="2" t="inlineStr">
        <is>
          <t>High</t>
        </is>
      </c>
      <c r="L28" s="2" t="inlineStr">
        <is>
          <t>task,PH-03</t>
        </is>
      </c>
      <c r="M28" s="2" t="inlineStr"/>
      <c r="N28" s="2" t="inlineStr">
        <is>
          <t>CIN-T-022</t>
        </is>
      </c>
      <c r="O28" s="2" t="inlineStr">
        <is>
          <t>PH-03</t>
        </is>
      </c>
      <c r="P28" s="2" t="inlineStr">
        <is>
          <t>CIN-T-023</t>
        </is>
      </c>
    </row>
    <row r="29">
      <c r="A29" s="2" t="inlineStr">
        <is>
          <t>Task</t>
        </is>
      </c>
      <c r="B29" s="2" t="inlineStr">
        <is>
          <t>CIN-T-024</t>
        </is>
      </c>
      <c r="C29" s="2" t="inlineStr">
        <is>
          <t>PH-03</t>
        </is>
      </c>
      <c r="D29" s="2" t="inlineStr">
        <is>
          <t>Phát hành, tạo mã/QR và xác thực vé</t>
        </is>
      </c>
      <c r="E29" s="2" t="inlineStr">
        <is>
          <t>Objective: complete the mapped source items. Acceptance: child tasks checked with evidence. Scope: Phát hành, tạo mã/QR và xác thực vé.</t>
        </is>
      </c>
      <c r="F29" s="2" t="inlineStr">
        <is>
          <t>24120271</t>
        </is>
      </c>
      <c r="G29" s="2" t="inlineStr">
        <is>
          <t>Nguyen Trung Chinh</t>
        </is>
      </c>
      <c r="H29" s="2" t="inlineStr">
        <is>
          <t>Sprint 4</t>
        </is>
      </c>
      <c r="I29" s="3" t="n">
        <v>46340</v>
      </c>
      <c r="J29" s="3" t="n">
        <v>46353</v>
      </c>
      <c r="K29" s="2" t="inlineStr">
        <is>
          <t>High</t>
        </is>
      </c>
      <c r="L29" s="2" t="inlineStr">
        <is>
          <t>task,PH-03</t>
        </is>
      </c>
      <c r="M29" s="2" t="inlineStr"/>
      <c r="N29" s="2" t="inlineStr">
        <is>
          <t>CIN-T-023, CIN-T-022</t>
        </is>
      </c>
      <c r="O29" s="2" t="inlineStr">
        <is>
          <t>PH-03</t>
        </is>
      </c>
      <c r="P29" s="2" t="inlineStr">
        <is>
          <t>CIN-T-024</t>
        </is>
      </c>
    </row>
    <row r="30">
      <c r="A30" s="2" t="inlineStr">
        <is>
          <t>Task</t>
        </is>
      </c>
      <c r="B30" s="2" t="inlineStr">
        <is>
          <t>CIN-T-025</t>
        </is>
      </c>
      <c r="C30" s="2" t="inlineStr">
        <is>
          <t>PH-03</t>
        </is>
      </c>
      <c r="D30" s="2" t="inlineStr">
        <is>
          <t>Xây giao diện xem phim và chọn suất chiếu</t>
        </is>
      </c>
      <c r="E30" s="2" t="inlineStr">
        <is>
          <t>Objective: complete the mapped source items. Acceptance: child tasks checked with evidence. Scope: Xây giao diện xem phim và chọn suất chiếu.</t>
        </is>
      </c>
      <c r="F30" s="2" t="inlineStr">
        <is>
          <t>24120271</t>
        </is>
      </c>
      <c r="G30" s="2" t="inlineStr">
        <is>
          <t>Nguyen Trung Chinh</t>
        </is>
      </c>
      <c r="H30" s="2" t="inlineStr">
        <is>
          <t>Sprint 3</t>
        </is>
      </c>
      <c r="I30" s="3" t="n">
        <v>46326</v>
      </c>
      <c r="J30" s="3" t="n">
        <v>46339</v>
      </c>
      <c r="K30" s="2" t="inlineStr">
        <is>
          <t>High</t>
        </is>
      </c>
      <c r="L30" s="2" t="inlineStr">
        <is>
          <t>task,PH-03</t>
        </is>
      </c>
      <c r="M30" s="2" t="inlineStr"/>
      <c r="N30" s="2" t="inlineStr">
        <is>
          <t>CIN-T-009, CIN-T-015</t>
        </is>
      </c>
      <c r="O30" s="2" t="inlineStr">
        <is>
          <t>PH-03</t>
        </is>
      </c>
      <c r="P30" s="2" t="inlineStr">
        <is>
          <t>CIN-T-025</t>
        </is>
      </c>
    </row>
    <row r="31">
      <c r="A31" s="2" t="inlineStr">
        <is>
          <t>Task</t>
        </is>
      </c>
      <c r="B31" s="2" t="inlineStr">
        <is>
          <t>CIN-T-026</t>
        </is>
      </c>
      <c r="C31" s="2" t="inlineStr">
        <is>
          <t>PH-03</t>
        </is>
      </c>
      <c r="D31" s="2" t="inlineStr">
        <is>
          <t>Xây giao diện ghế, thanh toán và tài khoản</t>
        </is>
      </c>
      <c r="E31" s="2" t="inlineStr">
        <is>
          <t>Objective: complete the mapped source items. Acceptance: child tasks checked with evidence. Scope: Xây giao diện ghế, thanh toán và tài khoản.</t>
        </is>
      </c>
      <c r="F31" s="2" t="inlineStr">
        <is>
          <t>24120271</t>
        </is>
      </c>
      <c r="G31" s="2" t="inlineStr">
        <is>
          <t>Nguyen Trung Chinh</t>
        </is>
      </c>
      <c r="H31" s="2" t="inlineStr">
        <is>
          <t>Sprint 4</t>
        </is>
      </c>
      <c r="I31" s="3" t="n">
        <v>46340</v>
      </c>
      <c r="J31" s="3" t="n">
        <v>46353</v>
      </c>
      <c r="K31" s="2" t="inlineStr">
        <is>
          <t>High</t>
        </is>
      </c>
      <c r="L31" s="2" t="inlineStr">
        <is>
          <t>task,PH-03</t>
        </is>
      </c>
      <c r="M31" s="2" t="inlineStr"/>
      <c r="N31" s="2" t="inlineStr">
        <is>
          <t>CIN-T-025, CIN-T-022, CIN-T-023, CIN-T-024</t>
        </is>
      </c>
      <c r="O31" s="2" t="inlineStr">
        <is>
          <t>PH-03</t>
        </is>
      </c>
      <c r="P31" s="2" t="inlineStr">
        <is>
          <t>CIN-T-026</t>
        </is>
      </c>
    </row>
    <row r="32">
      <c r="A32" s="2" t="inlineStr">
        <is>
          <t>Task</t>
        </is>
      </c>
      <c r="B32" s="2" t="inlineStr">
        <is>
          <t>CIN-T-027</t>
        </is>
      </c>
      <c r="C32" s="2" t="inlineStr">
        <is>
          <t>PH-03</t>
        </is>
      </c>
      <c r="D32" s="2" t="inlineStr">
        <is>
          <t>Tích hợp frontend với API thật</t>
        </is>
      </c>
      <c r="E32" s="2" t="inlineStr">
        <is>
          <t>Objective: complete the mapped source items. Acceptance: child tasks checked with evidence. Scope: Tích hợp frontend với API thật.</t>
        </is>
      </c>
      <c r="F32" s="2" t="inlineStr">
        <is>
          <t>24120098</t>
        </is>
      </c>
      <c r="G32" s="2" t="inlineStr">
        <is>
          <t>Nguyen Quoc Nam</t>
        </is>
      </c>
      <c r="H32" s="2" t="inlineStr">
        <is>
          <t>Sprint 4</t>
        </is>
      </c>
      <c r="I32" s="3" t="n">
        <v>46340</v>
      </c>
      <c r="J32" s="3" t="n">
        <v>46353</v>
      </c>
      <c r="K32" s="2" t="inlineStr">
        <is>
          <t>High</t>
        </is>
      </c>
      <c r="L32" s="2" t="inlineStr">
        <is>
          <t>task,PH-03</t>
        </is>
      </c>
      <c r="M32" s="2" t="inlineStr"/>
      <c r="N32" s="2" t="inlineStr">
        <is>
          <t>CIN-T-026, CIN-T-016, CIN-T-019</t>
        </is>
      </c>
      <c r="O32" s="2" t="inlineStr">
        <is>
          <t>PH-03</t>
        </is>
      </c>
      <c r="P32" s="2" t="inlineStr">
        <is>
          <t>CIN-T-027</t>
        </is>
      </c>
    </row>
    <row r="33">
      <c r="A33" s="2" t="inlineStr">
        <is>
          <t>Task</t>
        </is>
      </c>
      <c r="B33" s="2" t="inlineStr">
        <is>
          <t>CIN-T-028</t>
        </is>
      </c>
      <c r="C33" s="2" t="inlineStr">
        <is>
          <t>PH-04</t>
        </is>
      </c>
      <c r="D33" s="2" t="inlineStr">
        <is>
          <t>Xây giao diện quản trị và nhân viên tối thiểu</t>
        </is>
      </c>
      <c r="E33" s="2" t="inlineStr">
        <is>
          <t>Objective: complete the mapped source items. Acceptance: child tasks checked with evidence. Scope: Xây giao diện quản trị và nhân viên tối thiểu.</t>
        </is>
      </c>
      <c r="F33" s="2" t="inlineStr">
        <is>
          <t>24120244</t>
        </is>
      </c>
      <c r="G33" s="2" t="inlineStr">
        <is>
          <t>Phan Van Viet</t>
        </is>
      </c>
      <c r="H33" s="2" t="inlineStr">
        <is>
          <t>Sprint 5</t>
        </is>
      </c>
      <c r="I33" s="3" t="n">
        <v>46354</v>
      </c>
      <c r="J33" s="3" t="n">
        <v>46368</v>
      </c>
      <c r="K33" s="2" t="inlineStr">
        <is>
          <t>Medium</t>
        </is>
      </c>
      <c r="L33" s="2" t="inlineStr">
        <is>
          <t>task,PH-04</t>
        </is>
      </c>
      <c r="M33" s="2" t="inlineStr"/>
      <c r="N33" s="2" t="inlineStr">
        <is>
          <t>CIN-T-019, CIN-T-020, CIN-T-021, CIN-T-017</t>
        </is>
      </c>
      <c r="O33" s="2" t="inlineStr">
        <is>
          <t>PH-04</t>
        </is>
      </c>
      <c r="P33" s="2" t="inlineStr">
        <is>
          <t>CIN-T-028</t>
        </is>
      </c>
    </row>
    <row r="34">
      <c r="A34" s="2" t="inlineStr">
        <is>
          <t>Task</t>
        </is>
      </c>
      <c r="B34" s="2" t="inlineStr">
        <is>
          <t>CIN-T-029</t>
        </is>
      </c>
      <c r="C34" s="2" t="inlineStr">
        <is>
          <t>PH-04</t>
        </is>
      </c>
      <c r="D34" s="2" t="inlineStr">
        <is>
          <t>Bổ sung tìm kiếm và bộ lọc cần thiết</t>
        </is>
      </c>
      <c r="E34" s="2" t="inlineStr">
        <is>
          <t>Objective: complete the mapped source items. Acceptance: child tasks checked with evidence. Scope: Bổ sung tìm kiếm và bộ lọc cần thiết.</t>
        </is>
      </c>
      <c r="F34" s="2" t="inlineStr">
        <is>
          <t>24120244</t>
        </is>
      </c>
      <c r="G34" s="2" t="inlineStr">
        <is>
          <t>Phan Van Viet</t>
        </is>
      </c>
      <c r="H34" s="2" t="inlineStr">
        <is>
          <t>Sprint 5</t>
        </is>
      </c>
      <c r="I34" s="3" t="n">
        <v>46354</v>
      </c>
      <c r="J34" s="3" t="n">
        <v>46368</v>
      </c>
      <c r="K34" s="2" t="inlineStr">
        <is>
          <t>Medium</t>
        </is>
      </c>
      <c r="L34" s="2" t="inlineStr">
        <is>
          <t>task,PH-04</t>
        </is>
      </c>
      <c r="M34" s="2" t="inlineStr"/>
      <c r="N34" s="2" t="inlineStr">
        <is>
          <t>CIN-T-015, CIN-T-028</t>
        </is>
      </c>
      <c r="O34" s="2" t="inlineStr">
        <is>
          <t>PH-04</t>
        </is>
      </c>
      <c r="P34" s="2" t="inlineStr">
        <is>
          <t>CIN-T-029</t>
        </is>
      </c>
    </row>
    <row r="35">
      <c r="A35" s="2" t="inlineStr">
        <is>
          <t>Task</t>
        </is>
      </c>
      <c r="B35" s="2" t="inlineStr">
        <is>
          <t>CIN-T-030</t>
        </is>
      </c>
      <c r="C35" s="2" t="inlineStr">
        <is>
          <t>PH-04</t>
        </is>
      </c>
      <c r="D35" s="2" t="inlineStr">
        <is>
          <t>Xây báo cáo cơ bản và đánh giá export</t>
        </is>
      </c>
      <c r="E35" s="2" t="inlineStr">
        <is>
          <t>Objective: complete the mapped source items. Acceptance: child tasks checked with evidence. Scope: Xây báo cáo cơ bản và đánh giá export.</t>
        </is>
      </c>
      <c r="F35" s="2" t="inlineStr">
        <is>
          <t>24120235</t>
        </is>
      </c>
      <c r="G35" s="2" t="inlineStr">
        <is>
          <t>Huynh Thanh Tu</t>
        </is>
      </c>
      <c r="H35" s="2" t="inlineStr">
        <is>
          <t>Sprint 5</t>
        </is>
      </c>
      <c r="I35" s="3" t="n">
        <v>46354</v>
      </c>
      <c r="J35" s="3" t="n">
        <v>46368</v>
      </c>
      <c r="K35" s="2" t="inlineStr">
        <is>
          <t>Medium</t>
        </is>
      </c>
      <c r="L35" s="2" t="inlineStr">
        <is>
          <t>task,PH-04</t>
        </is>
      </c>
      <c r="M35" s="2" t="inlineStr"/>
      <c r="N35" s="2" t="inlineStr">
        <is>
          <t>CIN-T-017, CIN-T-023, CIN-T-024</t>
        </is>
      </c>
      <c r="O35" s="2" t="inlineStr">
        <is>
          <t>PH-04</t>
        </is>
      </c>
      <c r="P35" s="2" t="inlineStr">
        <is>
          <t>CIN-T-030</t>
        </is>
      </c>
    </row>
    <row r="36">
      <c r="A36" s="2" t="inlineStr">
        <is>
          <t>Task</t>
        </is>
      </c>
      <c r="B36" s="2" t="inlineStr">
        <is>
          <t>CIN-T-031</t>
        </is>
      </c>
      <c r="C36" s="2" t="inlineStr">
        <is>
          <t>PH-04</t>
        </is>
      </c>
      <c r="D36" s="2" t="inlineStr">
        <is>
          <t>Đánh giá và triển khai AI movie assistant tùy chọn</t>
        </is>
      </c>
      <c r="E36" s="2" t="inlineStr">
        <is>
          <t>Objective: complete the mapped source items. Acceptance: child tasks checked with evidence. Scope: Đánh giá và triển khai AI movie assistant tùy chọn.</t>
        </is>
      </c>
      <c r="F36" s="2" t="inlineStr">
        <is>
          <t>24120255</t>
        </is>
      </c>
      <c r="G36" s="2" t="inlineStr">
        <is>
          <t>Tran Thien An</t>
        </is>
      </c>
      <c r="H36" s="2" t="inlineStr">
        <is>
          <t>Sprint 5</t>
        </is>
      </c>
      <c r="I36" s="3" t="n">
        <v>46354</v>
      </c>
      <c r="J36" s="3" t="n">
        <v>46368</v>
      </c>
      <c r="K36" s="2" t="inlineStr">
        <is>
          <t>Low</t>
        </is>
      </c>
      <c r="L36" s="2" t="inlineStr">
        <is>
          <t>task,PH-04</t>
        </is>
      </c>
      <c r="M36" s="2" t="inlineStr"/>
      <c r="N36" s="2" t="inlineStr">
        <is>
          <t>CIN-T-025, CIN-T-029</t>
        </is>
      </c>
      <c r="O36" s="2" t="inlineStr">
        <is>
          <t>PH-04</t>
        </is>
      </c>
      <c r="P36" s="2" t="inlineStr">
        <is>
          <t>CIN-T-031</t>
        </is>
      </c>
    </row>
    <row r="37">
      <c r="A37" s="2" t="inlineStr">
        <is>
          <t>Task</t>
        </is>
      </c>
      <c r="B37" s="2" t="inlineStr">
        <is>
          <t>CIN-T-032</t>
        </is>
      </c>
      <c r="C37" s="2" t="inlineStr">
        <is>
          <t>PH-03</t>
        </is>
      </c>
      <c r="D37" s="2" t="inlineStr">
        <is>
          <t>Chuẩn hóa validation và xử lý lỗi backend/frontend</t>
        </is>
      </c>
      <c r="E37" s="2" t="inlineStr">
        <is>
          <t>Objective: complete the mapped source items. Acceptance: child tasks checked with evidence. Scope: Chuẩn hóa validation và xử lý lỗi backend/frontend.</t>
        </is>
      </c>
      <c r="F37" s="2" t="inlineStr">
        <is>
          <t>24120244</t>
        </is>
      </c>
      <c r="G37" s="2" t="inlineStr">
        <is>
          <t>Phan Van Viet</t>
        </is>
      </c>
      <c r="H37" s="2" t="inlineStr">
        <is>
          <t>Sprint 4</t>
        </is>
      </c>
      <c r="I37" s="3" t="n">
        <v>46340</v>
      </c>
      <c r="J37" s="3" t="n">
        <v>46353</v>
      </c>
      <c r="K37" s="2" t="inlineStr">
        <is>
          <t>High</t>
        </is>
      </c>
      <c r="L37" s="2" t="inlineStr">
        <is>
          <t>task,PH-03</t>
        </is>
      </c>
      <c r="M37" s="2" t="inlineStr"/>
      <c r="N37" s="2" t="inlineStr">
        <is>
          <t>CIN-T-014, CIN-T-022, CIN-T-023</t>
        </is>
      </c>
      <c r="O37" s="2" t="inlineStr">
        <is>
          <t>PH-03</t>
        </is>
      </c>
      <c r="P37" s="2" t="inlineStr">
        <is>
          <t>CIN-T-032</t>
        </is>
      </c>
    </row>
    <row r="38">
      <c r="A38" s="2" t="inlineStr">
        <is>
          <t>Task</t>
        </is>
      </c>
      <c r="B38" s="2" t="inlineStr">
        <is>
          <t>CIN-T-033</t>
        </is>
      </c>
      <c r="C38" s="2" t="inlineStr">
        <is>
          <t>PH-03</t>
        </is>
      </c>
      <c r="D38" s="2" t="inlineStr">
        <is>
          <t>Áp dụng bảo vệ tài khoản, API, input và secrets</t>
        </is>
      </c>
      <c r="E38" s="2" t="inlineStr">
        <is>
          <t>Objective: complete the mapped source items. Acceptance: child tasks checked with evidence. Scope: Áp dụng bảo vệ tài khoản, API, input và secrets.</t>
        </is>
      </c>
      <c r="F38" s="2" t="inlineStr">
        <is>
          <t>24120255</t>
        </is>
      </c>
      <c r="G38" s="2" t="inlineStr">
        <is>
          <t>Tran Thien An</t>
        </is>
      </c>
      <c r="H38" s="2" t="inlineStr">
        <is>
          <t>Sprint 3</t>
        </is>
      </c>
      <c r="I38" s="3" t="n">
        <v>46326</v>
      </c>
      <c r="J38" s="3" t="n">
        <v>46339</v>
      </c>
      <c r="K38" s="2" t="inlineStr">
        <is>
          <t>High</t>
        </is>
      </c>
      <c r="L38" s="2" t="inlineStr">
        <is>
          <t>task,PH-03</t>
        </is>
      </c>
      <c r="M38" s="2" t="inlineStr"/>
      <c r="N38" s="2" t="inlineStr">
        <is>
          <t>CIN-T-019, CIN-T-014, CIN-T-012</t>
        </is>
      </c>
      <c r="O38" s="2" t="inlineStr">
        <is>
          <t>PH-03</t>
        </is>
      </c>
      <c r="P38" s="2" t="inlineStr">
        <is>
          <t>CIN-T-033</t>
        </is>
      </c>
    </row>
    <row r="39">
      <c r="A39" s="2" t="inlineStr">
        <is>
          <t>Task</t>
        </is>
      </c>
      <c r="B39" s="2" t="inlineStr">
        <is>
          <t>CIN-T-034</t>
        </is>
      </c>
      <c r="C39" s="2" t="inlineStr">
        <is>
          <t>PH-04</t>
        </is>
      </c>
      <c r="D39" s="2" t="inlineStr">
        <is>
          <t>Đánh giá security headers nâng cao</t>
        </is>
      </c>
      <c r="E39" s="2" t="inlineStr">
        <is>
          <t>Objective: complete the mapped source items. Acceptance: child tasks checked with evidence. Scope: Đánh giá security headers nâng cao.</t>
        </is>
      </c>
      <c r="F39" s="2" t="inlineStr">
        <is>
          <t>24120255</t>
        </is>
      </c>
      <c r="G39" s="2" t="inlineStr">
        <is>
          <t>Tran Thien An</t>
        </is>
      </c>
      <c r="H39" s="2" t="inlineStr">
        <is>
          <t>Sprint 5</t>
        </is>
      </c>
      <c r="I39" s="3" t="n">
        <v>46354</v>
      </c>
      <c r="J39" s="3" t="n">
        <v>46368</v>
      </c>
      <c r="K39" s="2" t="inlineStr">
        <is>
          <t>Low</t>
        </is>
      </c>
      <c r="L39" s="2" t="inlineStr">
        <is>
          <t>task,PH-04</t>
        </is>
      </c>
      <c r="M39" s="2" t="inlineStr"/>
      <c r="N39" s="2" t="inlineStr">
        <is>
          <t>CIN-T-033</t>
        </is>
      </c>
      <c r="O39" s="2" t="inlineStr">
        <is>
          <t>PH-04</t>
        </is>
      </c>
      <c r="P39" s="2" t="inlineStr">
        <is>
          <t>CIN-T-034</t>
        </is>
      </c>
    </row>
    <row r="40">
      <c r="A40" s="2" t="inlineStr">
        <is>
          <t>Task</t>
        </is>
      </c>
      <c r="B40" s="2" t="inlineStr">
        <is>
          <t>CIN-T-035</t>
        </is>
      </c>
      <c r="C40" s="2" t="inlineStr">
        <is>
          <t>PH-03</t>
        </is>
      </c>
      <c r="D40" s="2" t="inlineStr">
        <is>
          <t>Kiểm thử unit, integration và luồng đặt vé cốt lõi</t>
        </is>
      </c>
      <c r="E40" s="2" t="inlineStr">
        <is>
          <t>Objective: complete the mapped source items. Acceptance: child tasks checked with evidence. Scope: Kiểm thử unit, integration và luồng đặt vé cốt lõi.</t>
        </is>
      </c>
      <c r="F40" s="2" t="inlineStr">
        <is>
          <t>24120235</t>
        </is>
      </c>
      <c r="G40" s="2" t="inlineStr">
        <is>
          <t>Huynh Thanh Tu</t>
        </is>
      </c>
      <c r="H40" s="2" t="inlineStr">
        <is>
          <t>Sprint 4</t>
        </is>
      </c>
      <c r="I40" s="3" t="n">
        <v>46340</v>
      </c>
      <c r="J40" s="3" t="n">
        <v>46353</v>
      </c>
      <c r="K40" s="2" t="inlineStr">
        <is>
          <t>High</t>
        </is>
      </c>
      <c r="L40" s="2" t="inlineStr">
        <is>
          <t>task,PH-03</t>
        </is>
      </c>
      <c r="M40" s="2" t="inlineStr"/>
      <c r="N40" s="2" t="inlineStr">
        <is>
          <t>CIN-T-020, CIN-T-021, CIN-T-022, CIN-T-023, CIN-T-024, CIN-T-027</t>
        </is>
      </c>
      <c r="O40" s="2" t="inlineStr">
        <is>
          <t>PH-03</t>
        </is>
      </c>
      <c r="P40" s="2" t="inlineStr">
        <is>
          <t>CIN-T-035</t>
        </is>
      </c>
    </row>
    <row r="41">
      <c r="A41" s="2" t="inlineStr">
        <is>
          <t>Task</t>
        </is>
      </c>
      <c r="B41" s="2" t="inlineStr">
        <is>
          <t>CIN-T-036</t>
        </is>
      </c>
      <c r="C41" s="2" t="inlineStr">
        <is>
          <t>PH-04</t>
        </is>
      </c>
      <c r="D41" s="2" t="inlineStr">
        <is>
          <t>Chạy kiểm thử hồi quy trước khi bàn giao</t>
        </is>
      </c>
      <c r="E41" s="2" t="inlineStr">
        <is>
          <t>Objective: complete the mapped source items. Acceptance: child tasks checked with evidence. Scope: Chạy kiểm thử hồi quy trước khi bàn giao.</t>
        </is>
      </c>
      <c r="F41" s="2" t="inlineStr">
        <is>
          <t>24120271</t>
        </is>
      </c>
      <c r="G41" s="2" t="inlineStr">
        <is>
          <t>Nguyen Trung Chinh</t>
        </is>
      </c>
      <c r="H41" s="2" t="inlineStr">
        <is>
          <t>Sprint 5</t>
        </is>
      </c>
      <c r="I41" s="3" t="n">
        <v>46354</v>
      </c>
      <c r="J41" s="3" t="n">
        <v>46368</v>
      </c>
      <c r="K41" s="2" t="inlineStr">
        <is>
          <t>High</t>
        </is>
      </c>
      <c r="L41" s="2" t="inlineStr">
        <is>
          <t>task,PH-04</t>
        </is>
      </c>
      <c r="M41" s="2" t="inlineStr"/>
      <c r="N41" s="2" t="inlineStr">
        <is>
          <t>CIN-T-035, CIN-T-028, CIN-T-029, CIN-T-030</t>
        </is>
      </c>
      <c r="O41" s="2" t="inlineStr">
        <is>
          <t>PH-04</t>
        </is>
      </c>
      <c r="P41" s="2" t="inlineStr">
        <is>
          <t>CIN-T-036</t>
        </is>
      </c>
    </row>
    <row r="42">
      <c r="A42" s="2" t="inlineStr">
        <is>
          <t>Task</t>
        </is>
      </c>
      <c r="B42" s="2" t="inlineStr">
        <is>
          <t>CIN-T-037</t>
        </is>
      </c>
      <c r="C42" s="2" t="inlineStr">
        <is>
          <t>PH-02</t>
        </is>
      </c>
      <c r="D42" s="2" t="inlineStr">
        <is>
          <t>Chuẩn hóa môi trường phát triển local</t>
        </is>
      </c>
      <c r="E42" s="2" t="inlineStr">
        <is>
          <t>Objective: complete the mapped source items. Acceptance: child tasks checked with evidence. Scope: Chuẩn hóa môi trường phát triển local.</t>
        </is>
      </c>
      <c r="F42" s="2" t="inlineStr">
        <is>
          <t>24120255</t>
        </is>
      </c>
      <c r="G42" s="2" t="inlineStr">
        <is>
          <t>Tran Thien An</t>
        </is>
      </c>
      <c r="H42" s="2" t="inlineStr">
        <is>
          <t>Sprint 2</t>
        </is>
      </c>
      <c r="I42" s="3" t="n">
        <v>46312</v>
      </c>
      <c r="J42" s="3" t="n">
        <v>46325</v>
      </c>
      <c r="K42" s="2" t="inlineStr">
        <is>
          <t>Medium</t>
        </is>
      </c>
      <c r="L42" s="2" t="inlineStr">
        <is>
          <t>task,PH-02</t>
        </is>
      </c>
      <c r="M42" s="2" t="inlineStr"/>
      <c r="N42" s="2" t="inlineStr">
        <is>
          <t>CIN-T-012, CIN-T-003</t>
        </is>
      </c>
      <c r="O42" s="2" t="inlineStr">
        <is>
          <t>PH-02</t>
        </is>
      </c>
      <c r="P42" s="2" t="inlineStr">
        <is>
          <t>CIN-T-037</t>
        </is>
      </c>
    </row>
    <row r="43">
      <c r="A43" s="2" t="inlineStr">
        <is>
          <t>Task</t>
        </is>
      </c>
      <c r="B43" s="2" t="inlineStr">
        <is>
          <t>CIN-T-038</t>
        </is>
      </c>
      <c r="C43" s="2" t="inlineStr">
        <is>
          <t>PH-04</t>
        </is>
      </c>
      <c r="D43" s="2" t="inlineStr">
        <is>
          <t>Tự động hóa build, test và kiểm tra chất lượng</t>
        </is>
      </c>
      <c r="E43" s="2" t="inlineStr">
        <is>
          <t>Objective: complete the mapped source items. Acceptance: child tasks checked with evidence. Scope: Tự động hóa build, test và kiểm tra chất lượng.</t>
        </is>
      </c>
      <c r="F43" s="2" t="inlineStr">
        <is>
          <t>24120235</t>
        </is>
      </c>
      <c r="G43" s="2" t="inlineStr">
        <is>
          <t>Huynh Thanh Tu</t>
        </is>
      </c>
      <c r="H43" s="2" t="inlineStr">
        <is>
          <t>Sprint 5</t>
        </is>
      </c>
      <c r="I43" s="3" t="n">
        <v>46354</v>
      </c>
      <c r="J43" s="3" t="n">
        <v>46368</v>
      </c>
      <c r="K43" s="2" t="inlineStr">
        <is>
          <t>Medium</t>
        </is>
      </c>
      <c r="L43" s="2" t="inlineStr">
        <is>
          <t>task,PH-04</t>
        </is>
      </c>
      <c r="M43" s="2" t="inlineStr"/>
      <c r="N43" s="2" t="inlineStr">
        <is>
          <t>CIN-T-035, CIN-T-012</t>
        </is>
      </c>
      <c r="O43" s="2" t="inlineStr">
        <is>
          <t>PH-04</t>
        </is>
      </c>
      <c r="P43" s="2" t="inlineStr">
        <is>
          <t>CIN-T-038</t>
        </is>
      </c>
    </row>
    <row r="44">
      <c r="A44" s="2" t="inlineStr">
        <is>
          <t>Task</t>
        </is>
      </c>
      <c r="B44" s="2" t="inlineStr">
        <is>
          <t>CIN-T-039</t>
        </is>
      </c>
      <c r="C44" s="2" t="inlineStr">
        <is>
          <t>PH-04</t>
        </is>
      </c>
      <c r="D44" s="2" t="inlineStr">
        <is>
          <t>Chuẩn bị và xác minh môi trường triển khai demo</t>
        </is>
      </c>
      <c r="E44" s="2" t="inlineStr">
        <is>
          <t>Objective: complete the mapped source items. Acceptance: child tasks checked with evidence. Scope: Chuẩn bị và xác minh môi trường triển khai demo.</t>
        </is>
      </c>
      <c r="F44" s="2" t="inlineStr">
        <is>
          <t>24120244</t>
        </is>
      </c>
      <c r="G44" s="2" t="inlineStr">
        <is>
          <t>Phan Van Viet</t>
        </is>
      </c>
      <c r="H44" s="2" t="inlineStr">
        <is>
          <t>Sprint 5</t>
        </is>
      </c>
      <c r="I44" s="3" t="n">
        <v>46354</v>
      </c>
      <c r="J44" s="3" t="n">
        <v>46368</v>
      </c>
      <c r="K44" s="2" t="inlineStr">
        <is>
          <t>Medium</t>
        </is>
      </c>
      <c r="L44" s="2" t="inlineStr">
        <is>
          <t>task,PH-04</t>
        </is>
      </c>
      <c r="M44" s="2" t="inlineStr"/>
      <c r="N44" s="2" t="inlineStr">
        <is>
          <t>CIN-T-037, CIN-T-038, CIN-T-027</t>
        </is>
      </c>
      <c r="O44" s="2" t="inlineStr">
        <is>
          <t>PH-04</t>
        </is>
      </c>
      <c r="P44" s="2" t="inlineStr">
        <is>
          <t>CIN-T-039</t>
        </is>
      </c>
    </row>
    <row r="45">
      <c r="A45" s="2" t="inlineStr">
        <is>
          <t>Task</t>
        </is>
      </c>
      <c r="B45" s="2" t="inlineStr">
        <is>
          <t>CIN-T-040</t>
        </is>
      </c>
      <c r="C45" s="2" t="inlineStr">
        <is>
          <t>PH-04</t>
        </is>
      </c>
      <c r="D45" s="2" t="inlineStr">
        <is>
          <t>Hoàn thiện hosting và xác nhận triển khai</t>
        </is>
      </c>
      <c r="E45" s="2" t="inlineStr">
        <is>
          <t>Objective: complete the mapped source items. Acceptance: child tasks checked with evidence. Scope: Hoàn thiện hosting và xác nhận triển khai.</t>
        </is>
      </c>
      <c r="F45" s="2" t="inlineStr">
        <is>
          <t>24120244</t>
        </is>
      </c>
      <c r="G45" s="2" t="inlineStr">
        <is>
          <t>Phan Van Viet</t>
        </is>
      </c>
      <c r="H45" s="2" t="inlineStr">
        <is>
          <t>Sprint 5</t>
        </is>
      </c>
      <c r="I45" s="3" t="n">
        <v>46354</v>
      </c>
      <c r="J45" s="3" t="n">
        <v>46368</v>
      </c>
      <c r="K45" s="2" t="inlineStr">
        <is>
          <t>Low</t>
        </is>
      </c>
      <c r="L45" s="2" t="inlineStr">
        <is>
          <t>task,PH-04</t>
        </is>
      </c>
      <c r="M45" s="2" t="inlineStr"/>
      <c r="N45" s="2" t="inlineStr">
        <is>
          <t>CIN-T-039</t>
        </is>
      </c>
      <c r="O45" s="2" t="inlineStr">
        <is>
          <t>PH-04</t>
        </is>
      </c>
      <c r="P45" s="2" t="inlineStr">
        <is>
          <t>CIN-T-040</t>
        </is>
      </c>
    </row>
    <row r="46">
      <c r="A46" s="2" t="inlineStr">
        <is>
          <t>Task</t>
        </is>
      </c>
      <c r="B46" s="2" t="inlineStr">
        <is>
          <t>CIN-T-041</t>
        </is>
      </c>
      <c r="C46" s="2" t="inlineStr">
        <is>
          <t>PH-04</t>
        </is>
      </c>
      <c r="D46" s="2" t="inlineStr">
        <is>
          <t>Đánh giá logging, health, backup và vận hành</t>
        </is>
      </c>
      <c r="E46" s="2" t="inlineStr">
        <is>
          <t>Objective: complete the mapped source items. Acceptance: child tasks checked with evidence. Scope: Đánh giá logging, health, backup và vận hành.</t>
        </is>
      </c>
      <c r="F46" s="2" t="inlineStr">
        <is>
          <t>24120098</t>
        </is>
      </c>
      <c r="G46" s="2" t="inlineStr">
        <is>
          <t>Nguyen Quoc Nam</t>
        </is>
      </c>
      <c r="H46" s="2" t="inlineStr">
        <is>
          <t>Sprint 5</t>
        </is>
      </c>
      <c r="I46" s="3" t="n">
        <v>46354</v>
      </c>
      <c r="J46" s="3" t="n">
        <v>46368</v>
      </c>
      <c r="K46" s="2" t="inlineStr">
        <is>
          <t>Low</t>
        </is>
      </c>
      <c r="L46" s="2" t="inlineStr">
        <is>
          <t>task,PH-04</t>
        </is>
      </c>
      <c r="M46" s="2" t="inlineStr"/>
      <c r="N46" s="2" t="inlineStr">
        <is>
          <t>CIN-T-039</t>
        </is>
      </c>
      <c r="O46" s="2" t="inlineStr">
        <is>
          <t>PH-04</t>
        </is>
      </c>
      <c r="P46" s="2" t="inlineStr">
        <is>
          <t>CIN-T-041</t>
        </is>
      </c>
    </row>
    <row r="47">
      <c r="A47" s="2" t="inlineStr">
        <is>
          <t>Task</t>
        </is>
      </c>
      <c r="B47" s="2" t="inlineStr">
        <is>
          <t>CIN-T-042</t>
        </is>
      </c>
      <c r="C47" s="2" t="inlineStr">
        <is>
          <t>PH-02</t>
        </is>
      </c>
      <c r="D47" s="2" t="inlineStr">
        <is>
          <t>Tạo README và tài liệu kiến trúc/database ban đầu</t>
        </is>
      </c>
      <c r="E47" s="2" t="inlineStr">
        <is>
          <t>Objective: complete the mapped source items. Acceptance: child tasks checked with evidence. Scope: Tạo README và tài liệu kiến trúc/database ban đầu.</t>
        </is>
      </c>
      <c r="F47" s="2" t="inlineStr">
        <is>
          <t>24120271</t>
        </is>
      </c>
      <c r="G47" s="2" t="inlineStr">
        <is>
          <t>Nguyen Trung Chinh</t>
        </is>
      </c>
      <c r="H47" s="2" t="inlineStr">
        <is>
          <t>Sprint 2</t>
        </is>
      </c>
      <c r="I47" s="3" t="n">
        <v>46312</v>
      </c>
      <c r="J47" s="3" t="n">
        <v>46325</v>
      </c>
      <c r="K47" s="2" t="inlineStr">
        <is>
          <t>Medium</t>
        </is>
      </c>
      <c r="L47" s="2" t="inlineStr">
        <is>
          <t>task,PH-02</t>
        </is>
      </c>
      <c r="M47" s="2" t="inlineStr"/>
      <c r="N47" s="2" t="inlineStr">
        <is>
          <t>CIN-T-007, CIN-T-003</t>
        </is>
      </c>
      <c r="O47" s="2" t="inlineStr">
        <is>
          <t>PH-02</t>
        </is>
      </c>
      <c r="P47" s="2" t="inlineStr">
        <is>
          <t>CIN-T-042</t>
        </is>
      </c>
    </row>
    <row r="48">
      <c r="A48" s="2" t="inlineStr">
        <is>
          <t>Task</t>
        </is>
      </c>
      <c r="B48" s="2" t="inlineStr">
        <is>
          <t>CIN-T-043</t>
        </is>
      </c>
      <c r="C48" s="2" t="inlineStr">
        <is>
          <t>PH-03</t>
        </is>
      </c>
      <c r="D48" s="2" t="inlineStr">
        <is>
          <t>Hoàn thiện API và environment documentation</t>
        </is>
      </c>
      <c r="E48" s="2" t="inlineStr">
        <is>
          <t>Objective: complete the mapped source items. Acceptance: child tasks checked with evidence. Scope: Hoàn thiện API và environment documentation.</t>
        </is>
      </c>
      <c r="F48" s="2" t="inlineStr">
        <is>
          <t>24120235</t>
        </is>
      </c>
      <c r="G48" s="2" t="inlineStr">
        <is>
          <t>Huynh Thanh Tu</t>
        </is>
      </c>
      <c r="H48" s="2" t="inlineStr">
        <is>
          <t>Sprint 3</t>
        </is>
      </c>
      <c r="I48" s="3" t="n">
        <v>46326</v>
      </c>
      <c r="J48" s="3" t="n">
        <v>46339</v>
      </c>
      <c r="K48" s="2" t="inlineStr">
        <is>
          <t>Medium</t>
        </is>
      </c>
      <c r="L48" s="2" t="inlineStr">
        <is>
          <t>task,PH-03</t>
        </is>
      </c>
      <c r="M48" s="2" t="inlineStr"/>
      <c r="N48" s="2" t="inlineStr">
        <is>
          <t>CIN-T-014, CIN-T-037</t>
        </is>
      </c>
      <c r="O48" s="2" t="inlineStr">
        <is>
          <t>PH-03</t>
        </is>
      </c>
      <c r="P48" s="2" t="inlineStr">
        <is>
          <t>CIN-T-043</t>
        </is>
      </c>
    </row>
    <row r="49">
      <c r="A49" s="2" t="inlineStr">
        <is>
          <t>Task</t>
        </is>
      </c>
      <c r="B49" s="2" t="inlineStr">
        <is>
          <t>CIN-T-044</t>
        </is>
      </c>
      <c r="C49" s="2" t="inlineStr">
        <is>
          <t>PH-04</t>
        </is>
      </c>
      <c r="D49" s="2" t="inlineStr">
        <is>
          <t>Hoàn thiện hướng dẫn triển khai và sử dụng</t>
        </is>
      </c>
      <c r="E49" s="2" t="inlineStr">
        <is>
          <t>Objective: complete the mapped source items. Acceptance: child tasks checked with evidence. Scope: Hoàn thiện hướng dẫn triển khai và sử dụng.</t>
        </is>
      </c>
      <c r="F49" s="2" t="inlineStr">
        <is>
          <t>24120255</t>
        </is>
      </c>
      <c r="G49" s="2" t="inlineStr">
        <is>
          <t>Tran Thien An</t>
        </is>
      </c>
      <c r="H49" s="2" t="inlineStr">
        <is>
          <t>Sprint 5</t>
        </is>
      </c>
      <c r="I49" s="3" t="n">
        <v>46354</v>
      </c>
      <c r="J49" s="3" t="n">
        <v>46368</v>
      </c>
      <c r="K49" s="2" t="inlineStr">
        <is>
          <t>Medium</t>
        </is>
      </c>
      <c r="L49" s="2" t="inlineStr">
        <is>
          <t>task,PH-04</t>
        </is>
      </c>
      <c r="M49" s="2" t="inlineStr"/>
      <c r="N49" s="2" t="inlineStr">
        <is>
          <t>CIN-T-039, CIN-T-028</t>
        </is>
      </c>
      <c r="O49" s="2" t="inlineStr">
        <is>
          <t>PH-04</t>
        </is>
      </c>
      <c r="P49" s="2" t="inlineStr">
        <is>
          <t>CIN-T-044</t>
        </is>
      </c>
    </row>
    <row r="50">
      <c r="A50" s="2" t="inlineStr">
        <is>
          <t>Task</t>
        </is>
      </c>
      <c r="B50" s="2" t="inlineStr">
        <is>
          <t>CIN-T-045</t>
        </is>
      </c>
      <c r="C50" s="2" t="inlineStr">
        <is>
          <t>PH-04</t>
        </is>
      </c>
      <c r="D50" s="2" t="inlineStr">
        <is>
          <t>Tích hợp toàn hệ thống và xử lý lỗi release</t>
        </is>
      </c>
      <c r="E50" s="2" t="inlineStr">
        <is>
          <t>Objective: complete the mapped source items. Acceptance: child tasks checked with evidence. Scope: Tích hợp toàn hệ thống và xử lý lỗi release.</t>
        </is>
      </c>
      <c r="F50" s="2" t="inlineStr">
        <is>
          <t>24120244</t>
        </is>
      </c>
      <c r="G50" s="2" t="inlineStr">
        <is>
          <t>Phan Van Viet</t>
        </is>
      </c>
      <c r="H50" s="2" t="inlineStr">
        <is>
          <t>Sprint 5</t>
        </is>
      </c>
      <c r="I50" s="3" t="n">
        <v>46354</v>
      </c>
      <c r="J50" s="3" t="n">
        <v>46368</v>
      </c>
      <c r="K50" s="2" t="inlineStr">
        <is>
          <t>High</t>
        </is>
      </c>
      <c r="L50" s="2" t="inlineStr">
        <is>
          <t>task,PH-04</t>
        </is>
      </c>
      <c r="M50" s="2" t="inlineStr"/>
      <c r="N50" s="2" t="inlineStr">
        <is>
          <t>CIN-T-027, CIN-T-035, CIN-T-028, CIN-T-039</t>
        </is>
      </c>
      <c r="O50" s="2" t="inlineStr">
        <is>
          <t>PH-04</t>
        </is>
      </c>
      <c r="P50" s="2" t="inlineStr">
        <is>
          <t>CIN-T-045</t>
        </is>
      </c>
    </row>
    <row r="51">
      <c r="A51" s="2" t="inlineStr">
        <is>
          <t>Task</t>
        </is>
      </c>
      <c r="B51" s="2" t="inlineStr">
        <is>
          <t>CIN-T-046</t>
        </is>
      </c>
      <c r="C51" s="2" t="inlineStr">
        <is>
          <t>PH-04</t>
        </is>
      </c>
      <c r="D51" s="2" t="inlineStr">
        <is>
          <t>Chuẩn bị dữ liệu, tài khoản và kịch bản demo</t>
        </is>
      </c>
      <c r="E51" s="2" t="inlineStr">
        <is>
          <t>Objective: complete the mapped source items. Acceptance: child tasks checked with evidence. Scope: Chuẩn bị dữ liệu, tài khoản và kịch bản demo.</t>
        </is>
      </c>
      <c r="F51" s="2" t="inlineStr">
        <is>
          <t>24120255</t>
        </is>
      </c>
      <c r="G51" s="2" t="inlineStr">
        <is>
          <t>Tran Thien An</t>
        </is>
      </c>
      <c r="H51" s="2" t="inlineStr">
        <is>
          <t>Sprint 5</t>
        </is>
      </c>
      <c r="I51" s="3" t="n">
        <v>46354</v>
      </c>
      <c r="J51" s="3" t="n">
        <v>46368</v>
      </c>
      <c r="K51" s="2" t="inlineStr">
        <is>
          <t>High</t>
        </is>
      </c>
      <c r="L51" s="2" t="inlineStr">
        <is>
          <t>task,PH-04</t>
        </is>
      </c>
      <c r="M51" s="2" t="inlineStr"/>
      <c r="N51" s="2" t="inlineStr">
        <is>
          <t>CIN-T-045, CIN-T-030</t>
        </is>
      </c>
      <c r="O51" s="2" t="inlineStr">
        <is>
          <t>PH-04</t>
        </is>
      </c>
      <c r="P51" s="2" t="inlineStr">
        <is>
          <t>CIN-T-046</t>
        </is>
      </c>
    </row>
    <row r="52">
      <c r="A52" s="2" t="inlineStr">
        <is>
          <t>Task</t>
        </is>
      </c>
      <c r="B52" s="2" t="inlineStr">
        <is>
          <t>CIN-T-047</t>
        </is>
      </c>
      <c r="C52" s="2" t="inlineStr">
        <is>
          <t>PH-01</t>
        </is>
      </c>
      <c r="D52" s="2" t="inlineStr">
        <is>
          <t>Soạn tổng quan và phân tích nghiệp vụ cho PA1</t>
        </is>
      </c>
      <c r="E52" s="2" t="inlineStr">
        <is>
          <t>Objective: complete the mapped source items. Acceptance: child tasks checked with evidence. Scope: Soạn tổng quan và phân tích nghiệp vụ cho PA1.</t>
        </is>
      </c>
      <c r="F52" s="2" t="inlineStr">
        <is>
          <t>24120098</t>
        </is>
      </c>
      <c r="G52" s="2" t="inlineStr">
        <is>
          <t>Nguyen Quoc Nam</t>
        </is>
      </c>
      <c r="H52" s="2" t="inlineStr">
        <is>
          <t>Sprint 1</t>
        </is>
      </c>
      <c r="I52" s="3" t="n">
        <v>46298</v>
      </c>
      <c r="J52" s="3" t="n">
        <v>46311</v>
      </c>
      <c r="K52" s="2" t="inlineStr">
        <is>
          <t>High</t>
        </is>
      </c>
      <c r="L52" s="2" t="inlineStr">
        <is>
          <t>task,PH-01</t>
        </is>
      </c>
      <c r="M52" s="2" t="inlineStr"/>
      <c r="N52" s="2" t="inlineStr">
        <is>
          <t>CIN-T-003</t>
        </is>
      </c>
      <c r="O52" s="2" t="inlineStr">
        <is>
          <t>PH-01</t>
        </is>
      </c>
      <c r="P52" s="2" t="inlineStr">
        <is>
          <t>CIN-T-047</t>
        </is>
      </c>
    </row>
    <row r="53">
      <c r="A53" s="2" t="inlineStr">
        <is>
          <t>Task</t>
        </is>
      </c>
      <c r="B53" s="2" t="inlineStr">
        <is>
          <t>CIN-T-048</t>
        </is>
      </c>
      <c r="C53" s="2" t="inlineStr">
        <is>
          <t>PH-02</t>
        </is>
      </c>
      <c r="D53" s="2" t="inlineStr">
        <is>
          <t>Soạn phần thiết kế hệ thống và database</t>
        </is>
      </c>
      <c r="E53" s="2" t="inlineStr">
        <is>
          <t>Objective: complete the mapped source items. Acceptance: child tasks checked with evidence. Scope: Soạn phần thiết kế hệ thống và database.</t>
        </is>
      </c>
      <c r="F53" s="2" t="inlineStr">
        <is>
          <t>24120244</t>
        </is>
      </c>
      <c r="G53" s="2" t="inlineStr">
        <is>
          <t>Phan Van Viet</t>
        </is>
      </c>
      <c r="H53" s="2" t="inlineStr">
        <is>
          <t>Sprint 2</t>
        </is>
      </c>
      <c r="I53" s="3" t="n">
        <v>46312</v>
      </c>
      <c r="J53" s="3" t="n">
        <v>46325</v>
      </c>
      <c r="K53" s="2" t="inlineStr">
        <is>
          <t>Medium</t>
        </is>
      </c>
      <c r="L53" s="2" t="inlineStr">
        <is>
          <t>task,PH-02</t>
        </is>
      </c>
      <c r="M53" s="2" t="inlineStr"/>
      <c r="N53" s="2" t="inlineStr">
        <is>
          <t>CIN-T-007, CIN-T-003</t>
        </is>
      </c>
      <c r="O53" s="2" t="inlineStr">
        <is>
          <t>PH-02</t>
        </is>
      </c>
      <c r="P53" s="2" t="inlineStr">
        <is>
          <t>CIN-T-048</t>
        </is>
      </c>
    </row>
    <row r="54">
      <c r="A54" s="2" t="inlineStr">
        <is>
          <t>Task</t>
        </is>
      </c>
      <c r="B54" s="2" t="inlineStr">
        <is>
          <t>CIN-T-049</t>
        </is>
      </c>
      <c r="C54" s="2" t="inlineStr">
        <is>
          <t>PH-04</t>
        </is>
      </c>
      <c r="D54" s="2" t="inlineStr">
        <is>
          <t>Hoàn thiện chương kỹ thuật và triển khai trong báo cáo</t>
        </is>
      </c>
      <c r="E54" s="2" t="inlineStr">
        <is>
          <t>Objective: complete the mapped source items. Acceptance: child tasks checked with evidence. Scope: Hoàn thiện chương kỹ thuật và triển khai trong báo cáo.</t>
        </is>
      </c>
      <c r="F54" s="2" t="inlineStr">
        <is>
          <t>24120271</t>
        </is>
      </c>
      <c r="G54" s="2" t="inlineStr">
        <is>
          <t>Nguyen Trung Chinh</t>
        </is>
      </c>
      <c r="H54" s="2" t="inlineStr">
        <is>
          <t>Sprint 5</t>
        </is>
      </c>
      <c r="I54" s="3" t="n">
        <v>46354</v>
      </c>
      <c r="J54" s="3" t="n">
        <v>46368</v>
      </c>
      <c r="K54" s="2" t="inlineStr">
        <is>
          <t>Medium</t>
        </is>
      </c>
      <c r="L54" s="2" t="inlineStr">
        <is>
          <t>task,PH-04</t>
        </is>
      </c>
      <c r="M54" s="2" t="inlineStr"/>
      <c r="N54" s="2" t="inlineStr">
        <is>
          <t>CIN-T-045, CIN-T-036, CIN-T-044</t>
        </is>
      </c>
      <c r="O54" s="2" t="inlineStr">
        <is>
          <t>PH-04</t>
        </is>
      </c>
      <c r="P54" s="2" t="inlineStr">
        <is>
          <t>CIN-T-049</t>
        </is>
      </c>
    </row>
    <row r="55">
      <c r="A55" s="2" t="inlineStr">
        <is>
          <t>Task</t>
        </is>
      </c>
      <c r="B55" s="2" t="inlineStr">
        <is>
          <t>CIN-T-050</t>
        </is>
      </c>
      <c r="C55" s="2" t="inlineStr">
        <is>
          <t>PH-04</t>
        </is>
      </c>
      <c r="D55" s="2" t="inlineStr">
        <is>
          <t>Hoàn thiện đánh giá, slide và phân công thuyết trình</t>
        </is>
      </c>
      <c r="E55" s="2" t="inlineStr">
        <is>
          <t>Objective: complete the mapped source items. Acceptance: child tasks checked with evidence. Scope: Hoàn thiện đánh giá, slide và phân công thuyết trình.</t>
        </is>
      </c>
      <c r="F55" s="2" t="inlineStr">
        <is>
          <t>24120244</t>
        </is>
      </c>
      <c r="G55" s="2" t="inlineStr">
        <is>
          <t>Phan Van Viet</t>
        </is>
      </c>
      <c r="H55" s="2" t="inlineStr">
        <is>
          <t>Sprint 5</t>
        </is>
      </c>
      <c r="I55" s="3" t="n">
        <v>46354</v>
      </c>
      <c r="J55" s="3" t="n">
        <v>46368</v>
      </c>
      <c r="K55" s="2" t="inlineStr">
        <is>
          <t>High</t>
        </is>
      </c>
      <c r="L55" s="2" t="inlineStr">
        <is>
          <t>task,PH-04</t>
        </is>
      </c>
      <c r="M55" s="2" t="inlineStr"/>
      <c r="N55" s="2" t="inlineStr">
        <is>
          <t>CIN-T-049, CIN-T-046</t>
        </is>
      </c>
      <c r="O55" s="2" t="inlineStr">
        <is>
          <t>PH-04</t>
        </is>
      </c>
      <c r="P55" s="2" t="inlineStr">
        <is>
          <t>CIN-T-050</t>
        </is>
      </c>
    </row>
    <row r="56">
      <c r="A56" s="2" t="inlineStr">
        <is>
          <t>Sub-task</t>
        </is>
      </c>
      <c r="B56" s="2" t="inlineStr">
        <is>
          <t>CIN-SUB-001</t>
        </is>
      </c>
      <c r="C56" s="2" t="inlineStr">
        <is>
          <t>CIN-T-001</t>
        </is>
      </c>
      <c r="D56" s="2" t="inlineStr">
        <is>
          <t>Xác định loại hệ thống</t>
        </is>
      </c>
      <c r="E56" s="2" t="inlineStr">
        <is>
          <t>Original Row ID: ORIG-001. Original task: Xác định loại hệ thống. Original description: Web App bán vé xem phim và quản lý rạp.</t>
        </is>
      </c>
      <c r="F56" s="2" t="inlineStr">
        <is>
          <t>24120271</t>
        </is>
      </c>
      <c r="G56" s="2" t="inlineStr">
        <is>
          <t>Nguyen Trung Chinh</t>
        </is>
      </c>
      <c r="H56" s="2" t="inlineStr">
        <is>
          <t>Sprint 1</t>
        </is>
      </c>
      <c r="I56" s="3" t="n">
        <v>46298</v>
      </c>
      <c r="J56" s="3" t="n">
        <v>46311</v>
      </c>
      <c r="K56" s="2" t="inlineStr">
        <is>
          <t>High</t>
        </is>
      </c>
      <c r="L56" s="2" t="inlineStr">
        <is>
          <t>subtask,PH-01,orig-001</t>
        </is>
      </c>
      <c r="M56" s="2" t="inlineStr">
        <is>
          <t>ORIG-001</t>
        </is>
      </c>
      <c r="N56" s="2" t="inlineStr"/>
      <c r="O56" s="2" t="inlineStr">
        <is>
          <t>PH-01</t>
        </is>
      </c>
      <c r="P56" s="2" t="inlineStr">
        <is>
          <t>CIN-T-001</t>
        </is>
      </c>
    </row>
    <row r="57">
      <c r="A57" s="2" t="inlineStr">
        <is>
          <t>Sub-task</t>
        </is>
      </c>
      <c r="B57" s="2" t="inlineStr">
        <is>
          <t>CIN-SUB-002</t>
        </is>
      </c>
      <c r="C57" s="2" t="inlineStr">
        <is>
          <t>CIN-T-001</t>
        </is>
      </c>
      <c r="D57" s="2" t="inlineStr">
        <is>
          <t>Xác định phạm vi hệ thống</t>
        </is>
      </c>
      <c r="E57" s="2" t="inlineStr">
        <is>
          <t>Original Row ID: ORIG-002. Original task: Xác định phạm vi hệ thống. Original description: Quản lý phim, phòng chiếu, ghế, loại vé, suất chiếu, đặt vé, thanh toán và tài khoản.</t>
        </is>
      </c>
      <c r="F57" s="2" t="inlineStr">
        <is>
          <t>24120244</t>
        </is>
      </c>
      <c r="G57" s="2" t="inlineStr">
        <is>
          <t>Phan Van Viet</t>
        </is>
      </c>
      <c r="H57" s="2" t="inlineStr">
        <is>
          <t>Sprint 1</t>
        </is>
      </c>
      <c r="I57" s="3" t="n">
        <v>46298</v>
      </c>
      <c r="J57" s="3" t="n">
        <v>46311</v>
      </c>
      <c r="K57" s="2" t="inlineStr">
        <is>
          <t>High</t>
        </is>
      </c>
      <c r="L57" s="2" t="inlineStr">
        <is>
          <t>subtask,PH-01,orig-002</t>
        </is>
      </c>
      <c r="M57" s="2" t="inlineStr">
        <is>
          <t>ORIG-002</t>
        </is>
      </c>
      <c r="N57" s="2" t="inlineStr"/>
      <c r="O57" s="2" t="inlineStr">
        <is>
          <t>PH-01</t>
        </is>
      </c>
      <c r="P57" s="2" t="inlineStr">
        <is>
          <t>CIN-T-001</t>
        </is>
      </c>
    </row>
    <row r="58">
      <c r="A58" s="2" t="inlineStr">
        <is>
          <t>Sub-task</t>
        </is>
      </c>
      <c r="B58" s="2" t="inlineStr">
        <is>
          <t>CIN-SUB-003</t>
        </is>
      </c>
      <c r="C58" s="2" t="inlineStr">
        <is>
          <t>CIN-T-001</t>
        </is>
      </c>
      <c r="D58" s="2" t="inlineStr">
        <is>
          <t>Xác định Actor</t>
        </is>
      </c>
      <c r="E58" s="2" t="inlineStr">
        <is>
          <t>Original Row ID: ORIG-003. Original task: Xác định Actor. Original description: Customer, Staff, Manager, Admin.</t>
        </is>
      </c>
      <c r="F58" s="2" t="inlineStr">
        <is>
          <t>24120255</t>
        </is>
      </c>
      <c r="G58" s="2" t="inlineStr">
        <is>
          <t>Tran Thien An</t>
        </is>
      </c>
      <c r="H58" s="2" t="inlineStr">
        <is>
          <t>Sprint 1</t>
        </is>
      </c>
      <c r="I58" s="3" t="n">
        <v>46298</v>
      </c>
      <c r="J58" s="3" t="n">
        <v>46311</v>
      </c>
      <c r="K58" s="2" t="inlineStr">
        <is>
          <t>High</t>
        </is>
      </c>
      <c r="L58" s="2" t="inlineStr">
        <is>
          <t>subtask,PH-01,orig-003</t>
        </is>
      </c>
      <c r="M58" s="2" t="inlineStr">
        <is>
          <t>ORIG-003</t>
        </is>
      </c>
      <c r="N58" s="2" t="inlineStr"/>
      <c r="O58" s="2" t="inlineStr">
        <is>
          <t>PH-01</t>
        </is>
      </c>
      <c r="P58" s="2" t="inlineStr">
        <is>
          <t>CIN-T-001</t>
        </is>
      </c>
    </row>
    <row r="59">
      <c r="A59" s="2" t="inlineStr">
        <is>
          <t>Sub-task</t>
        </is>
      </c>
      <c r="B59" s="2" t="inlineStr">
        <is>
          <t>CIN-SUB-004</t>
        </is>
      </c>
      <c r="C59" s="2" t="inlineStr">
        <is>
          <t>CIN-T-001</t>
        </is>
      </c>
      <c r="D59" s="2" t="inlineStr">
        <is>
          <t>Xác định nghiệp vụ chính</t>
        </is>
      </c>
      <c r="E59" s="2" t="inlineStr">
        <is>
          <t>Original Row ID: ORIG-004. Original task: Xác định nghiệp vụ chính. Original description: Xem phim, xem lịch chiếu, chọn ghế, đặt vé, thanh toán, quản lý phim, quản lý phòng,....</t>
        </is>
      </c>
      <c r="F59" s="2" t="inlineStr">
        <is>
          <t>24120235</t>
        </is>
      </c>
      <c r="G59" s="2" t="inlineStr">
        <is>
          <t>Huynh Thanh Tu</t>
        </is>
      </c>
      <c r="H59" s="2" t="inlineStr">
        <is>
          <t>Sprint 1</t>
        </is>
      </c>
      <c r="I59" s="3" t="n">
        <v>46298</v>
      </c>
      <c r="J59" s="3" t="n">
        <v>46311</v>
      </c>
      <c r="K59" s="2" t="inlineStr">
        <is>
          <t>High</t>
        </is>
      </c>
      <c r="L59" s="2" t="inlineStr">
        <is>
          <t>subtask,PH-01,orig-004</t>
        </is>
      </c>
      <c r="M59" s="2" t="inlineStr">
        <is>
          <t>ORIG-004</t>
        </is>
      </c>
      <c r="N59" s="2" t="inlineStr"/>
      <c r="O59" s="2" t="inlineStr">
        <is>
          <t>PH-01</t>
        </is>
      </c>
      <c r="P59" s="2" t="inlineStr">
        <is>
          <t>CIN-T-001</t>
        </is>
      </c>
    </row>
    <row r="60">
      <c r="A60" s="2" t="inlineStr">
        <is>
          <t>Sub-task</t>
        </is>
      </c>
      <c r="B60" s="2" t="inlineStr">
        <is>
          <t>CIN-SUB-005</t>
        </is>
      </c>
      <c r="C60" s="2" t="inlineStr">
        <is>
          <t>CIN-T-002</t>
        </is>
      </c>
      <c r="D60" s="2" t="inlineStr">
        <is>
          <t>Xác định đối tượng dữ liệu</t>
        </is>
      </c>
      <c r="E60" s="2" t="inlineStr">
        <is>
          <t>Original Row ID: ORIG-005. Original task: Xác định đối tượng dữ liệu. Original description: Movie, Genre, CinemaRoom, Seat, SeatType, TicketType, Showtime, Booking, BookingDetail, Ticket, Payment, User, Role, Cinema, MovieGenre, UserRole, PaymentEvent, Refund.</t>
        </is>
      </c>
      <c r="F60" s="2" t="inlineStr">
        <is>
          <t>24120098</t>
        </is>
      </c>
      <c r="G60" s="2" t="inlineStr">
        <is>
          <t>Nguyen Quoc Nam</t>
        </is>
      </c>
      <c r="H60" s="2" t="inlineStr">
        <is>
          <t>Sprint 1</t>
        </is>
      </c>
      <c r="I60" s="3" t="n">
        <v>46298</v>
      </c>
      <c r="J60" s="3" t="n">
        <v>46311</v>
      </c>
      <c r="K60" s="2" t="inlineStr">
        <is>
          <t>High</t>
        </is>
      </c>
      <c r="L60" s="2" t="inlineStr">
        <is>
          <t>subtask,PH-01,orig-005</t>
        </is>
      </c>
      <c r="M60" s="2" t="inlineStr">
        <is>
          <t>ORIG-005</t>
        </is>
      </c>
      <c r="N60" s="2" t="inlineStr">
        <is>
          <t>CIN-T-001</t>
        </is>
      </c>
      <c r="O60" s="2" t="inlineStr">
        <is>
          <t>PH-01</t>
        </is>
      </c>
      <c r="P60" s="2" t="inlineStr">
        <is>
          <t>CIN-T-002</t>
        </is>
      </c>
    </row>
    <row r="61">
      <c r="A61" s="2" t="inlineStr">
        <is>
          <t>Sub-task</t>
        </is>
      </c>
      <c r="B61" s="2" t="inlineStr">
        <is>
          <t>CIN-SUB-006</t>
        </is>
      </c>
      <c r="C61" s="2" t="inlineStr">
        <is>
          <t>CIN-T-002</t>
        </is>
      </c>
      <c r="D61" s="2" t="inlineStr">
        <is>
          <t>Phân tích luồng khách hàng</t>
        </is>
      </c>
      <c r="E61" s="2" t="inlineStr">
        <is>
          <t>Original Row ID: ORIG-006. Original task: Phân tích luồng khách hàng. Original description: Đăng nhập → chọn phim → chọn suất → chọn ghế → chọn vé → thanh toán → nhận vé.</t>
        </is>
      </c>
      <c r="F61" s="2" t="inlineStr">
        <is>
          <t>24120271</t>
        </is>
      </c>
      <c r="G61" s="2" t="inlineStr">
        <is>
          <t>Nguyen Trung Chinh</t>
        </is>
      </c>
      <c r="H61" s="2" t="inlineStr">
        <is>
          <t>Sprint 1</t>
        </is>
      </c>
      <c r="I61" s="3" t="n">
        <v>46298</v>
      </c>
      <c r="J61" s="3" t="n">
        <v>46311</v>
      </c>
      <c r="K61" s="2" t="inlineStr">
        <is>
          <t>High</t>
        </is>
      </c>
      <c r="L61" s="2" t="inlineStr">
        <is>
          <t>subtask,PH-01,orig-006</t>
        </is>
      </c>
      <c r="M61" s="2" t="inlineStr">
        <is>
          <t>ORIG-006</t>
        </is>
      </c>
      <c r="N61" s="2" t="inlineStr">
        <is>
          <t>CIN-T-001</t>
        </is>
      </c>
      <c r="O61" s="2" t="inlineStr">
        <is>
          <t>PH-01</t>
        </is>
      </c>
      <c r="P61" s="2" t="inlineStr">
        <is>
          <t>CIN-T-002</t>
        </is>
      </c>
    </row>
    <row r="62">
      <c r="A62" s="2" t="inlineStr">
        <is>
          <t>Sub-task</t>
        </is>
      </c>
      <c r="B62" s="2" t="inlineStr">
        <is>
          <t>CIN-SUB-007</t>
        </is>
      </c>
      <c r="C62" s="2" t="inlineStr">
        <is>
          <t>CIN-T-002</t>
        </is>
      </c>
      <c r="D62" s="2" t="inlineStr">
        <is>
          <t>Phân tích luồng quản trị</t>
        </is>
      </c>
      <c r="E62" s="2" t="inlineStr">
        <is>
          <t>Original Row ID: ORIG-007. Original task: Phân tích luồng quản trị. Original description: Login → Dashboard → quản lý phim / phòng / ghế / suất chiếu / booking.</t>
        </is>
      </c>
      <c r="F62" s="2" t="inlineStr">
        <is>
          <t>24120244</t>
        </is>
      </c>
      <c r="G62" s="2" t="inlineStr">
        <is>
          <t>Phan Van Viet</t>
        </is>
      </c>
      <c r="H62" s="2" t="inlineStr">
        <is>
          <t>Sprint 1</t>
        </is>
      </c>
      <c r="I62" s="3" t="n">
        <v>46298</v>
      </c>
      <c r="J62" s="3" t="n">
        <v>46311</v>
      </c>
      <c r="K62" s="2" t="inlineStr">
        <is>
          <t>High</t>
        </is>
      </c>
      <c r="L62" s="2" t="inlineStr">
        <is>
          <t>subtask,PH-01,orig-007</t>
        </is>
      </c>
      <c r="M62" s="2" t="inlineStr">
        <is>
          <t>ORIG-007</t>
        </is>
      </c>
      <c r="N62" s="2" t="inlineStr">
        <is>
          <t>CIN-T-001</t>
        </is>
      </c>
      <c r="O62" s="2" t="inlineStr">
        <is>
          <t>PH-01</t>
        </is>
      </c>
      <c r="P62" s="2" t="inlineStr">
        <is>
          <t>CIN-T-002</t>
        </is>
      </c>
    </row>
    <row r="63">
      <c r="A63" s="2" t="inlineStr">
        <is>
          <t>Sub-task</t>
        </is>
      </c>
      <c r="B63" s="2" t="inlineStr">
        <is>
          <t>CIN-SUB-008</t>
        </is>
      </c>
      <c r="C63" s="2" t="inlineStr">
        <is>
          <t>CIN-T-002</t>
        </is>
      </c>
      <c r="D63" s="2" t="inlineStr">
        <is>
          <t>Phân tích nghiệp vụ đặt vé</t>
        </is>
      </c>
      <c r="E63" s="2" t="inlineStr">
        <is>
          <t>Original Row ID: ORIG-008. Original task: Phân tích nghiệp vụ đặt vé. Original description: Xác định quy tắc đặt, giữ, thanh toán và hủy vé.</t>
        </is>
      </c>
      <c r="F63" s="2" t="inlineStr">
        <is>
          <t>24120255</t>
        </is>
      </c>
      <c r="G63" s="2" t="inlineStr">
        <is>
          <t>Tran Thien An</t>
        </is>
      </c>
      <c r="H63" s="2" t="inlineStr">
        <is>
          <t>Sprint 1</t>
        </is>
      </c>
      <c r="I63" s="3" t="n">
        <v>46298</v>
      </c>
      <c r="J63" s="3" t="n">
        <v>46311</v>
      </c>
      <c r="K63" s="2" t="inlineStr">
        <is>
          <t>High</t>
        </is>
      </c>
      <c r="L63" s="2" t="inlineStr">
        <is>
          <t>subtask,PH-01,orig-008</t>
        </is>
      </c>
      <c r="M63" s="2" t="inlineStr">
        <is>
          <t>ORIG-008</t>
        </is>
      </c>
      <c r="N63" s="2" t="inlineStr">
        <is>
          <t>CIN-T-001</t>
        </is>
      </c>
      <c r="O63" s="2" t="inlineStr">
        <is>
          <t>PH-01</t>
        </is>
      </c>
      <c r="P63" s="2" t="inlineStr">
        <is>
          <t>CIN-T-002</t>
        </is>
      </c>
    </row>
    <row r="64">
      <c r="A64" s="2" t="inlineStr">
        <is>
          <t>Sub-task</t>
        </is>
      </c>
      <c r="B64" s="2" t="inlineStr">
        <is>
          <t>CIN-SUB-009</t>
        </is>
      </c>
      <c r="C64" s="2" t="inlineStr">
        <is>
          <t>CIN-T-002</t>
        </is>
      </c>
      <c r="D64" s="2" t="inlineStr">
        <is>
          <t>Phân tích nghiệp vụ phòng chiếu</t>
        </is>
      </c>
      <c r="E64" s="2" t="inlineStr">
        <is>
          <t>Original Row ID: ORIG-009. Original task: Phân tích nghiệp vụ phòng chiếu. Original description: Phòng, sơ đồ ghế, loại ghế, sức chứa.</t>
        </is>
      </c>
      <c r="F64" s="2" t="inlineStr">
        <is>
          <t>24120235</t>
        </is>
      </c>
      <c r="G64" s="2" t="inlineStr">
        <is>
          <t>Huynh Thanh Tu</t>
        </is>
      </c>
      <c r="H64" s="2" t="inlineStr">
        <is>
          <t>Sprint 1</t>
        </is>
      </c>
      <c r="I64" s="3" t="n">
        <v>46298</v>
      </c>
      <c r="J64" s="3" t="n">
        <v>46311</v>
      </c>
      <c r="K64" s="2" t="inlineStr">
        <is>
          <t>High</t>
        </is>
      </c>
      <c r="L64" s="2" t="inlineStr">
        <is>
          <t>subtask,PH-01,orig-009</t>
        </is>
      </c>
      <c r="M64" s="2" t="inlineStr">
        <is>
          <t>ORIG-009</t>
        </is>
      </c>
      <c r="N64" s="2" t="inlineStr">
        <is>
          <t>CIN-T-001</t>
        </is>
      </c>
      <c r="O64" s="2" t="inlineStr">
        <is>
          <t>PH-01</t>
        </is>
      </c>
      <c r="P64" s="2" t="inlineStr">
        <is>
          <t>CIN-T-002</t>
        </is>
      </c>
    </row>
    <row r="65">
      <c r="A65" s="2" t="inlineStr">
        <is>
          <t>Sub-task</t>
        </is>
      </c>
      <c r="B65" s="2" t="inlineStr">
        <is>
          <t>CIN-SUB-010</t>
        </is>
      </c>
      <c r="C65" s="2" t="inlineStr">
        <is>
          <t>CIN-T-002</t>
        </is>
      </c>
      <c r="D65" s="2" t="inlineStr">
        <is>
          <t>Phân tích nghiệp vụ lịch chiếu</t>
        </is>
      </c>
      <c r="E65" s="2" t="inlineStr">
        <is>
          <t>Original Row ID: ORIG-010. Original task: Phân tích nghiệp vụ lịch chiếu. Original description: Phim + phòng + thời gian + trạng thái.</t>
        </is>
      </c>
      <c r="F65" s="2" t="inlineStr">
        <is>
          <t>24120098</t>
        </is>
      </c>
      <c r="G65" s="2" t="inlineStr">
        <is>
          <t>Nguyen Quoc Nam</t>
        </is>
      </c>
      <c r="H65" s="2" t="inlineStr">
        <is>
          <t>Sprint 1</t>
        </is>
      </c>
      <c r="I65" s="3" t="n">
        <v>46298</v>
      </c>
      <c r="J65" s="3" t="n">
        <v>46311</v>
      </c>
      <c r="K65" s="2" t="inlineStr">
        <is>
          <t>High</t>
        </is>
      </c>
      <c r="L65" s="2" t="inlineStr">
        <is>
          <t>subtask,PH-01,orig-010</t>
        </is>
      </c>
      <c r="M65" s="2" t="inlineStr">
        <is>
          <t>ORIG-010</t>
        </is>
      </c>
      <c r="N65" s="2" t="inlineStr">
        <is>
          <t>CIN-T-001</t>
        </is>
      </c>
      <c r="O65" s="2" t="inlineStr">
        <is>
          <t>PH-01</t>
        </is>
      </c>
      <c r="P65" s="2" t="inlineStr">
        <is>
          <t>CIN-T-002</t>
        </is>
      </c>
    </row>
    <row r="66">
      <c r="A66" s="2" t="inlineStr">
        <is>
          <t>Sub-task</t>
        </is>
      </c>
      <c r="B66" s="2" t="inlineStr">
        <is>
          <t>CIN-SUB-011</t>
        </is>
      </c>
      <c r="C66" s="2" t="inlineStr">
        <is>
          <t>CIN-T-002</t>
        </is>
      </c>
      <c r="D66" s="2" t="inlineStr">
        <is>
          <t>Phân tích nghiệp vụ thanh toán</t>
        </is>
      </c>
      <c r="E66" s="2" t="inlineStr">
        <is>
          <t>Original Row ID: ORIG-011. Original task: Phân tích nghiệp vụ thanh toán. Original description: created, pending, unknown, succeeded, failed, cancelled, refund.</t>
        </is>
      </c>
      <c r="F66" s="2" t="inlineStr">
        <is>
          <t>24120271</t>
        </is>
      </c>
      <c r="G66" s="2" t="inlineStr">
        <is>
          <t>Nguyen Trung Chinh</t>
        </is>
      </c>
      <c r="H66" s="2" t="inlineStr">
        <is>
          <t>Sprint 1</t>
        </is>
      </c>
      <c r="I66" s="3" t="n">
        <v>46298</v>
      </c>
      <c r="J66" s="3" t="n">
        <v>46311</v>
      </c>
      <c r="K66" s="2" t="inlineStr">
        <is>
          <t>High</t>
        </is>
      </c>
      <c r="L66" s="2" t="inlineStr">
        <is>
          <t>subtask,PH-01,orig-011</t>
        </is>
      </c>
      <c r="M66" s="2" t="inlineStr">
        <is>
          <t>ORIG-011</t>
        </is>
      </c>
      <c r="N66" s="2" t="inlineStr">
        <is>
          <t>CIN-T-001</t>
        </is>
      </c>
      <c r="O66" s="2" t="inlineStr">
        <is>
          <t>PH-01</t>
        </is>
      </c>
      <c r="P66" s="2" t="inlineStr">
        <is>
          <t>CIN-T-002</t>
        </is>
      </c>
    </row>
    <row r="67">
      <c r="A67" s="2" t="inlineStr">
        <is>
          <t>Sub-task</t>
        </is>
      </c>
      <c r="B67" s="2" t="inlineStr">
        <is>
          <t>CIN-SUB-012</t>
        </is>
      </c>
      <c r="C67" s="2" t="inlineStr">
        <is>
          <t>CIN-T-003</t>
        </is>
      </c>
      <c r="D67" s="2" t="inlineStr">
        <is>
          <t>Xác định chức năng hệ thống</t>
        </is>
      </c>
      <c r="E67" s="2" t="inlineStr">
        <is>
          <t>Original Row ID: ORIG-012. Original task: Xác định chức năng hệ thống. Original description: Functional Requirements.</t>
        </is>
      </c>
      <c r="F67" s="2" t="inlineStr">
        <is>
          <t>24120255</t>
        </is>
      </c>
      <c r="G67" s="2" t="inlineStr">
        <is>
          <t>Tran Thien An</t>
        </is>
      </c>
      <c r="H67" s="2" t="inlineStr">
        <is>
          <t>Sprint 1</t>
        </is>
      </c>
      <c r="I67" s="3" t="n">
        <v>46298</v>
      </c>
      <c r="J67" s="3" t="n">
        <v>46311</v>
      </c>
      <c r="K67" s="2" t="inlineStr">
        <is>
          <t>High</t>
        </is>
      </c>
      <c r="L67" s="2" t="inlineStr">
        <is>
          <t>subtask,PH-01,orig-012</t>
        </is>
      </c>
      <c r="M67" s="2" t="inlineStr">
        <is>
          <t>ORIG-012</t>
        </is>
      </c>
      <c r="N67" s="2" t="inlineStr">
        <is>
          <t>CIN-T-002</t>
        </is>
      </c>
      <c r="O67" s="2" t="inlineStr">
        <is>
          <t>PH-01</t>
        </is>
      </c>
      <c r="P67" s="2" t="inlineStr">
        <is>
          <t>CIN-T-003</t>
        </is>
      </c>
    </row>
    <row r="68">
      <c r="A68" s="2" t="inlineStr">
        <is>
          <t>Sub-task</t>
        </is>
      </c>
      <c r="B68" s="2" t="inlineStr">
        <is>
          <t>CIN-SUB-013</t>
        </is>
      </c>
      <c r="C68" s="2" t="inlineStr">
        <is>
          <t>CIN-T-003</t>
        </is>
      </c>
      <c r="D68" s="2" t="inlineStr">
        <is>
          <t>Xác định yêu cầu phi chức năng</t>
        </is>
      </c>
      <c r="E68" s="2" t="inlineStr">
        <is>
          <t>Original Row ID: ORIG-013. Original task: Xác định yêu cầu phi chức năng. Original description: Security, Performance, Availability, Usability,....</t>
        </is>
      </c>
      <c r="F68" s="2" t="inlineStr">
        <is>
          <t>24120235</t>
        </is>
      </c>
      <c r="G68" s="2" t="inlineStr">
        <is>
          <t>Huynh Thanh Tu</t>
        </is>
      </c>
      <c r="H68" s="2" t="inlineStr">
        <is>
          <t>Sprint 1</t>
        </is>
      </c>
      <c r="I68" s="3" t="n">
        <v>46298</v>
      </c>
      <c r="J68" s="3" t="n">
        <v>46311</v>
      </c>
      <c r="K68" s="2" t="inlineStr">
        <is>
          <t>High</t>
        </is>
      </c>
      <c r="L68" s="2" t="inlineStr">
        <is>
          <t>subtask,PH-01,orig-013</t>
        </is>
      </c>
      <c r="M68" s="2" t="inlineStr">
        <is>
          <t>ORIG-013</t>
        </is>
      </c>
      <c r="N68" s="2" t="inlineStr">
        <is>
          <t>CIN-T-002</t>
        </is>
      </c>
      <c r="O68" s="2" t="inlineStr">
        <is>
          <t>PH-01</t>
        </is>
      </c>
      <c r="P68" s="2" t="inlineStr">
        <is>
          <t>CIN-T-003</t>
        </is>
      </c>
    </row>
    <row r="69">
      <c r="A69" s="2" t="inlineStr">
        <is>
          <t>Sub-task</t>
        </is>
      </c>
      <c r="B69" s="2" t="inlineStr">
        <is>
          <t>CIN-SUB-014</t>
        </is>
      </c>
      <c r="C69" s="2" t="inlineStr">
        <is>
          <t>CIN-T-003</t>
        </is>
      </c>
      <c r="D69" s="2" t="inlineStr">
        <is>
          <t>Xây dựng Use Case</t>
        </is>
      </c>
      <c r="E69" s="2" t="inlineStr">
        <is>
          <t>Original Row ID: ORIG-014. Original task: Xây dựng Use Case. Original description: Hoàn thiện Use Case Diagram.</t>
        </is>
      </c>
      <c r="F69" s="2" t="inlineStr">
        <is>
          <t>24120098</t>
        </is>
      </c>
      <c r="G69" s="2" t="inlineStr">
        <is>
          <t>Nguyen Quoc Nam</t>
        </is>
      </c>
      <c r="H69" s="2" t="inlineStr">
        <is>
          <t>Sprint 1</t>
        </is>
      </c>
      <c r="I69" s="3" t="n">
        <v>46298</v>
      </c>
      <c r="J69" s="3" t="n">
        <v>46311</v>
      </c>
      <c r="K69" s="2" t="inlineStr">
        <is>
          <t>High</t>
        </is>
      </c>
      <c r="L69" s="2" t="inlineStr">
        <is>
          <t>subtask,PH-01,orig-014</t>
        </is>
      </c>
      <c r="M69" s="2" t="inlineStr">
        <is>
          <t>ORIG-014</t>
        </is>
      </c>
      <c r="N69" s="2" t="inlineStr">
        <is>
          <t>CIN-T-002</t>
        </is>
      </c>
      <c r="O69" s="2" t="inlineStr">
        <is>
          <t>PH-01</t>
        </is>
      </c>
      <c r="P69" s="2" t="inlineStr">
        <is>
          <t>CIN-T-003</t>
        </is>
      </c>
    </row>
    <row r="70">
      <c r="A70" s="2" t="inlineStr">
        <is>
          <t>Sub-task</t>
        </is>
      </c>
      <c r="B70" s="2" t="inlineStr">
        <is>
          <t>CIN-SUB-015</t>
        </is>
      </c>
      <c r="C70" s="2" t="inlineStr">
        <is>
          <t>CIN-T-003</t>
        </is>
      </c>
      <c r="D70" s="2" t="inlineStr">
        <is>
          <t>Xây dựng Activity Diagram</t>
        </is>
      </c>
      <c r="E70" s="2" t="inlineStr">
        <is>
          <t>Original Row ID: ORIG-015. Original task: Xây dựng Activity Diagram. Original description: Các luồng nghiệp vụ chính.</t>
        </is>
      </c>
      <c r="F70" s="2" t="inlineStr">
        <is>
          <t>24120244</t>
        </is>
      </c>
      <c r="G70" s="2" t="inlineStr">
        <is>
          <t>Phan Van Viet</t>
        </is>
      </c>
      <c r="H70" s="2" t="inlineStr">
        <is>
          <t>Sprint 1</t>
        </is>
      </c>
      <c r="I70" s="3" t="n">
        <v>46298</v>
      </c>
      <c r="J70" s="3" t="n">
        <v>46311</v>
      </c>
      <c r="K70" s="2" t="inlineStr">
        <is>
          <t>High</t>
        </is>
      </c>
      <c r="L70" s="2" t="inlineStr">
        <is>
          <t>subtask,PH-01,orig-015</t>
        </is>
      </c>
      <c r="M70" s="2" t="inlineStr">
        <is>
          <t>ORIG-015</t>
        </is>
      </c>
      <c r="N70" s="2" t="inlineStr">
        <is>
          <t>CIN-T-002</t>
        </is>
      </c>
      <c r="O70" s="2" t="inlineStr">
        <is>
          <t>PH-01</t>
        </is>
      </c>
      <c r="P70" s="2" t="inlineStr">
        <is>
          <t>CIN-T-003</t>
        </is>
      </c>
    </row>
    <row r="71">
      <c r="A71" s="2" t="inlineStr">
        <is>
          <t>Sub-task</t>
        </is>
      </c>
      <c r="B71" s="2" t="inlineStr">
        <is>
          <t>CIN-SUB-016</t>
        </is>
      </c>
      <c r="C71" s="2" t="inlineStr">
        <is>
          <t>CIN-T-003</t>
        </is>
      </c>
      <c r="D71" s="2" t="inlineStr">
        <is>
          <t>Xây dựng Sequence Diagram</t>
        </is>
      </c>
      <c r="E71" s="2" t="inlineStr">
        <is>
          <t>Original Row ID: ORIG-016. Original task: Xây dựng Sequence Diagram. Original description: Booking, Payment, Authentication,....</t>
        </is>
      </c>
      <c r="F71" s="2" t="inlineStr">
        <is>
          <t>24120271</t>
        </is>
      </c>
      <c r="G71" s="2" t="inlineStr">
        <is>
          <t>Nguyen Trung Chinh</t>
        </is>
      </c>
      <c r="H71" s="2" t="inlineStr">
        <is>
          <t>Sprint 1</t>
        </is>
      </c>
      <c r="I71" s="3" t="n">
        <v>46298</v>
      </c>
      <c r="J71" s="3" t="n">
        <v>46311</v>
      </c>
      <c r="K71" s="2" t="inlineStr">
        <is>
          <t>High</t>
        </is>
      </c>
      <c r="L71" s="2" t="inlineStr">
        <is>
          <t>subtask,PH-01,orig-016</t>
        </is>
      </c>
      <c r="M71" s="2" t="inlineStr">
        <is>
          <t>ORIG-016</t>
        </is>
      </c>
      <c r="N71" s="2" t="inlineStr">
        <is>
          <t>CIN-T-002</t>
        </is>
      </c>
      <c r="O71" s="2" t="inlineStr">
        <is>
          <t>PH-01</t>
        </is>
      </c>
      <c r="P71" s="2" t="inlineStr">
        <is>
          <t>CIN-T-003</t>
        </is>
      </c>
    </row>
    <row r="72">
      <c r="A72" s="2" t="inlineStr">
        <is>
          <t>Sub-task</t>
        </is>
      </c>
      <c r="B72" s="2" t="inlineStr">
        <is>
          <t>CIN-SUB-017</t>
        </is>
      </c>
      <c r="C72" s="2" t="inlineStr">
        <is>
          <t>CIN-T-003</t>
        </is>
      </c>
      <c r="D72" s="2" t="inlineStr">
        <is>
          <t>Thiết kế kiến trúc hệ thống</t>
        </is>
      </c>
      <c r="E72" s="2" t="inlineStr">
        <is>
          <t>Original Row ID: ORIG-017. Original task: Thiết kế kiến trúc hệ thống. Original description: Frontend → ASP.NET Core API → Business Logic → EF Core → PostgreSQL.</t>
        </is>
      </c>
      <c r="F72" s="2" t="inlineStr">
        <is>
          <t>24120255</t>
        </is>
      </c>
      <c r="G72" s="2" t="inlineStr">
        <is>
          <t>Tran Thien An</t>
        </is>
      </c>
      <c r="H72" s="2" t="inlineStr">
        <is>
          <t>Sprint 1</t>
        </is>
      </c>
      <c r="I72" s="3" t="n">
        <v>46298</v>
      </c>
      <c r="J72" s="3" t="n">
        <v>46311</v>
      </c>
      <c r="K72" s="2" t="inlineStr">
        <is>
          <t>High</t>
        </is>
      </c>
      <c r="L72" s="2" t="inlineStr">
        <is>
          <t>subtask,PH-01,orig-017</t>
        </is>
      </c>
      <c r="M72" s="2" t="inlineStr">
        <is>
          <t>ORIG-017</t>
        </is>
      </c>
      <c r="N72" s="2" t="inlineStr">
        <is>
          <t>CIN-T-002</t>
        </is>
      </c>
      <c r="O72" s="2" t="inlineStr">
        <is>
          <t>PH-01</t>
        </is>
      </c>
      <c r="P72" s="2" t="inlineStr">
        <is>
          <t>CIN-T-003</t>
        </is>
      </c>
    </row>
    <row r="73">
      <c r="A73" s="2" t="inlineStr">
        <is>
          <t>Sub-task</t>
        </is>
      </c>
      <c r="B73" s="2" t="inlineStr">
        <is>
          <t>CIN-SUB-018</t>
        </is>
      </c>
      <c r="C73" s="2" t="inlineStr">
        <is>
          <t>CIN-T-004</t>
        </is>
      </c>
      <c r="D73" s="2" t="inlineStr">
        <is>
          <t>Thiết kế bảng</t>
        </is>
      </c>
      <c r="E73" s="2" t="inlineStr">
        <is>
          <t>Original Row ID: ORIG-018. Original task: Thiết kế bảng. Original description: Tổng hợp cấu trúc của toàn bộ bảng.</t>
        </is>
      </c>
      <c r="F73" s="2" t="inlineStr">
        <is>
          <t>24120098</t>
        </is>
      </c>
      <c r="G73" s="2" t="inlineStr">
        <is>
          <t>Nguyen Quoc Nam</t>
        </is>
      </c>
      <c r="H73" s="2" t="inlineStr">
        <is>
          <t>Sprint 2</t>
        </is>
      </c>
      <c r="I73" s="3" t="n">
        <v>46312</v>
      </c>
      <c r="J73" s="3" t="n">
        <v>46325</v>
      </c>
      <c r="K73" s="2" t="inlineStr">
        <is>
          <t>High</t>
        </is>
      </c>
      <c r="L73" s="2" t="inlineStr">
        <is>
          <t>subtask,PH-02,orig-018</t>
        </is>
      </c>
      <c r="M73" s="2" t="inlineStr">
        <is>
          <t>ORIG-018</t>
        </is>
      </c>
      <c r="N73" s="2" t="inlineStr">
        <is>
          <t>CIN-T-003</t>
        </is>
      </c>
      <c r="O73" s="2" t="inlineStr">
        <is>
          <t>PH-02</t>
        </is>
      </c>
      <c r="P73" s="2" t="inlineStr">
        <is>
          <t>CIN-T-004</t>
        </is>
      </c>
    </row>
    <row r="74">
      <c r="A74" s="2" t="inlineStr">
        <is>
          <t>Sub-task</t>
        </is>
      </c>
      <c r="B74" s="2" t="inlineStr">
        <is>
          <t>CIN-SUB-019</t>
        </is>
      </c>
      <c r="C74" s="2" t="inlineStr">
        <is>
          <t>CIN-T-004</t>
        </is>
      </c>
      <c r="D74" s="2" t="inlineStr">
        <is>
          <t>Thiết kế bảng Movie</t>
        </is>
      </c>
      <c r="E74" s="2" t="inlineStr">
        <is>
          <t>Original Row ID: ORIG-019. Original task: Thiết kế bảng Movie. Original description: Tên phim, mô tả, thời lượng, ngày phát hành, trạng thái,....</t>
        </is>
      </c>
      <c r="F74" s="2" t="inlineStr">
        <is>
          <t>24120244</t>
        </is>
      </c>
      <c r="G74" s="2" t="inlineStr">
        <is>
          <t>Phan Van Viet</t>
        </is>
      </c>
      <c r="H74" s="2" t="inlineStr">
        <is>
          <t>Sprint 2</t>
        </is>
      </c>
      <c r="I74" s="3" t="n">
        <v>46312</v>
      </c>
      <c r="J74" s="3" t="n">
        <v>46325</v>
      </c>
      <c r="K74" s="2" t="inlineStr">
        <is>
          <t>High</t>
        </is>
      </c>
      <c r="L74" s="2" t="inlineStr">
        <is>
          <t>subtask,PH-02,orig-019</t>
        </is>
      </c>
      <c r="M74" s="2" t="inlineStr">
        <is>
          <t>ORIG-019</t>
        </is>
      </c>
      <c r="N74" s="2" t="inlineStr">
        <is>
          <t>CIN-T-003</t>
        </is>
      </c>
      <c r="O74" s="2" t="inlineStr">
        <is>
          <t>PH-02</t>
        </is>
      </c>
      <c r="P74" s="2" t="inlineStr">
        <is>
          <t>CIN-T-004</t>
        </is>
      </c>
    </row>
    <row r="75">
      <c r="A75" s="2" t="inlineStr">
        <is>
          <t>Sub-task</t>
        </is>
      </c>
      <c r="B75" s="2" t="inlineStr">
        <is>
          <t>CIN-SUB-020</t>
        </is>
      </c>
      <c r="C75" s="2" t="inlineStr">
        <is>
          <t>CIN-T-004</t>
        </is>
      </c>
      <c r="D75" s="2" t="inlineStr">
        <is>
          <t>Thiết kế bảng Genre</t>
        </is>
      </c>
      <c r="E75" s="2" t="inlineStr">
        <is>
          <t>Original Row ID: ORIG-020. Original task: Thiết kế bảng Genre. Original description: Thể loại phim.</t>
        </is>
      </c>
      <c r="F75" s="2" t="inlineStr">
        <is>
          <t>24120235</t>
        </is>
      </c>
      <c r="G75" s="2" t="inlineStr">
        <is>
          <t>Huynh Thanh Tu</t>
        </is>
      </c>
      <c r="H75" s="2" t="inlineStr">
        <is>
          <t>Sprint 2</t>
        </is>
      </c>
      <c r="I75" s="3" t="n">
        <v>46312</v>
      </c>
      <c r="J75" s="3" t="n">
        <v>46325</v>
      </c>
      <c r="K75" s="2" t="inlineStr">
        <is>
          <t>High</t>
        </is>
      </c>
      <c r="L75" s="2" t="inlineStr">
        <is>
          <t>subtask,PH-02,orig-020</t>
        </is>
      </c>
      <c r="M75" s="2" t="inlineStr">
        <is>
          <t>ORIG-020</t>
        </is>
      </c>
      <c r="N75" s="2" t="inlineStr">
        <is>
          <t>CIN-T-003</t>
        </is>
      </c>
      <c r="O75" s="2" t="inlineStr">
        <is>
          <t>PH-02</t>
        </is>
      </c>
      <c r="P75" s="2" t="inlineStr">
        <is>
          <t>CIN-T-004</t>
        </is>
      </c>
    </row>
    <row r="76">
      <c r="A76" s="2" t="inlineStr">
        <is>
          <t>Sub-task</t>
        </is>
      </c>
      <c r="B76" s="2" t="inlineStr">
        <is>
          <t>CIN-SUB-021</t>
        </is>
      </c>
      <c r="C76" s="2" t="inlineStr">
        <is>
          <t>CIN-T-004</t>
        </is>
      </c>
      <c r="D76" s="2" t="inlineStr">
        <is>
          <t>Thiết kế bảng MovieGenre</t>
        </is>
      </c>
      <c r="E76" s="2" t="inlineStr">
        <is>
          <t>Original Row ID: ORIG-021. Original task: Thiết kế bảng MovieGenre. Original description: Quan hệ Movie – Genre nếu sử dụng N-N.</t>
        </is>
      </c>
      <c r="F76" s="2" t="inlineStr">
        <is>
          <t>24120255</t>
        </is>
      </c>
      <c r="G76" s="2" t="inlineStr">
        <is>
          <t>Tran Thien An</t>
        </is>
      </c>
      <c r="H76" s="2" t="inlineStr">
        <is>
          <t>Sprint 2</t>
        </is>
      </c>
      <c r="I76" s="3" t="n">
        <v>46312</v>
      </c>
      <c r="J76" s="3" t="n">
        <v>46325</v>
      </c>
      <c r="K76" s="2" t="inlineStr">
        <is>
          <t>High</t>
        </is>
      </c>
      <c r="L76" s="2" t="inlineStr">
        <is>
          <t>subtask,PH-02,orig-021</t>
        </is>
      </c>
      <c r="M76" s="2" t="inlineStr">
        <is>
          <t>ORIG-021</t>
        </is>
      </c>
      <c r="N76" s="2" t="inlineStr">
        <is>
          <t>CIN-T-003</t>
        </is>
      </c>
      <c r="O76" s="2" t="inlineStr">
        <is>
          <t>PH-02</t>
        </is>
      </c>
      <c r="P76" s="2" t="inlineStr">
        <is>
          <t>CIN-T-004</t>
        </is>
      </c>
    </row>
    <row r="77">
      <c r="A77" s="2" t="inlineStr">
        <is>
          <t>Sub-task</t>
        </is>
      </c>
      <c r="B77" s="2" t="inlineStr">
        <is>
          <t>CIN-SUB-022</t>
        </is>
      </c>
      <c r="C77" s="2" t="inlineStr">
        <is>
          <t>CIN-T-004</t>
        </is>
      </c>
      <c r="D77" s="2" t="inlineStr">
        <is>
          <t>Thiết kế bảng CinemaRoom</t>
        </is>
      </c>
      <c r="E77" s="2" t="inlineStr">
        <is>
          <t>Original Row ID: ORIG-022. Original task: Thiết kế bảng CinemaRoom. Original description: Tên phòng, sức chứa, trạng thái.</t>
        </is>
      </c>
      <c r="F77" s="2" t="inlineStr">
        <is>
          <t>24120271</t>
        </is>
      </c>
      <c r="G77" s="2" t="inlineStr">
        <is>
          <t>Nguyen Trung Chinh</t>
        </is>
      </c>
      <c r="H77" s="2" t="inlineStr">
        <is>
          <t>Sprint 2</t>
        </is>
      </c>
      <c r="I77" s="3" t="n">
        <v>46312</v>
      </c>
      <c r="J77" s="3" t="n">
        <v>46325</v>
      </c>
      <c r="K77" s="2" t="inlineStr">
        <is>
          <t>High</t>
        </is>
      </c>
      <c r="L77" s="2" t="inlineStr">
        <is>
          <t>subtask,PH-02,orig-022</t>
        </is>
      </c>
      <c r="M77" s="2" t="inlineStr">
        <is>
          <t>ORIG-022</t>
        </is>
      </c>
      <c r="N77" s="2" t="inlineStr">
        <is>
          <t>CIN-T-003</t>
        </is>
      </c>
      <c r="O77" s="2" t="inlineStr">
        <is>
          <t>PH-02</t>
        </is>
      </c>
      <c r="P77" s="2" t="inlineStr">
        <is>
          <t>CIN-T-004</t>
        </is>
      </c>
    </row>
    <row r="78">
      <c r="A78" s="2" t="inlineStr">
        <is>
          <t>Sub-task</t>
        </is>
      </c>
      <c r="B78" s="2" t="inlineStr">
        <is>
          <t>CIN-SUB-023</t>
        </is>
      </c>
      <c r="C78" s="2" t="inlineStr">
        <is>
          <t>CIN-T-004</t>
        </is>
      </c>
      <c r="D78" s="2" t="inlineStr">
        <is>
          <t>Thiết kế bảng Seat</t>
        </is>
      </c>
      <c r="E78" s="2" t="inlineStr">
        <is>
          <t>Original Row ID: ORIG-023. Original task: Thiết kế bảng Seat. Original description: Hàng, số ghế, loại ghế, phòng.</t>
        </is>
      </c>
      <c r="F78" s="2" t="inlineStr">
        <is>
          <t>24120098</t>
        </is>
      </c>
      <c r="G78" s="2" t="inlineStr">
        <is>
          <t>Nguyen Quoc Nam</t>
        </is>
      </c>
      <c r="H78" s="2" t="inlineStr">
        <is>
          <t>Sprint 2</t>
        </is>
      </c>
      <c r="I78" s="3" t="n">
        <v>46312</v>
      </c>
      <c r="J78" s="3" t="n">
        <v>46325</v>
      </c>
      <c r="K78" s="2" t="inlineStr">
        <is>
          <t>High</t>
        </is>
      </c>
      <c r="L78" s="2" t="inlineStr">
        <is>
          <t>subtask,PH-02,orig-023</t>
        </is>
      </c>
      <c r="M78" s="2" t="inlineStr">
        <is>
          <t>ORIG-023</t>
        </is>
      </c>
      <c r="N78" s="2" t="inlineStr">
        <is>
          <t>CIN-T-003</t>
        </is>
      </c>
      <c r="O78" s="2" t="inlineStr">
        <is>
          <t>PH-02</t>
        </is>
      </c>
      <c r="P78" s="2" t="inlineStr">
        <is>
          <t>CIN-T-004</t>
        </is>
      </c>
    </row>
    <row r="79">
      <c r="A79" s="2" t="inlineStr">
        <is>
          <t>Sub-task</t>
        </is>
      </c>
      <c r="B79" s="2" t="inlineStr">
        <is>
          <t>CIN-SUB-024</t>
        </is>
      </c>
      <c r="C79" s="2" t="inlineStr">
        <is>
          <t>CIN-T-004</t>
        </is>
      </c>
      <c r="D79" s="2" t="inlineStr">
        <is>
          <t>Thiết kế bảng SeatType</t>
        </is>
      </c>
      <c r="E79" s="2" t="inlineStr">
        <is>
          <t>Original Row ID: ORIG-024. Original task: Thiết kế bảng SeatType. Original description: Standard, VIP, Couple,....</t>
        </is>
      </c>
      <c r="F79" s="2" t="inlineStr">
        <is>
          <t>24120244</t>
        </is>
      </c>
      <c r="G79" s="2" t="inlineStr">
        <is>
          <t>Phan Van Viet</t>
        </is>
      </c>
      <c r="H79" s="2" t="inlineStr">
        <is>
          <t>Sprint 2</t>
        </is>
      </c>
      <c r="I79" s="3" t="n">
        <v>46312</v>
      </c>
      <c r="J79" s="3" t="n">
        <v>46325</v>
      </c>
      <c r="K79" s="2" t="inlineStr">
        <is>
          <t>High</t>
        </is>
      </c>
      <c r="L79" s="2" t="inlineStr">
        <is>
          <t>subtask,PH-02,orig-024</t>
        </is>
      </c>
      <c r="M79" s="2" t="inlineStr">
        <is>
          <t>ORIG-024</t>
        </is>
      </c>
      <c r="N79" s="2" t="inlineStr">
        <is>
          <t>CIN-T-003</t>
        </is>
      </c>
      <c r="O79" s="2" t="inlineStr">
        <is>
          <t>PH-02</t>
        </is>
      </c>
      <c r="P79" s="2" t="inlineStr">
        <is>
          <t>CIN-T-004</t>
        </is>
      </c>
    </row>
    <row r="80">
      <c r="A80" s="2" t="inlineStr">
        <is>
          <t>Sub-task</t>
        </is>
      </c>
      <c r="B80" s="2" t="inlineStr">
        <is>
          <t>CIN-SUB-025</t>
        </is>
      </c>
      <c r="C80" s="2" t="inlineStr">
        <is>
          <t>CIN-T-004</t>
        </is>
      </c>
      <c r="D80" s="2" t="inlineStr">
        <is>
          <t>Thiết kế bảng TicketType</t>
        </is>
      </c>
      <c r="E80" s="2" t="inlineStr">
        <is>
          <t>Original Row ID: ORIG-025. Original task: Thiết kế bảng TicketType. Original description: Adult, Child, Student,....</t>
        </is>
      </c>
      <c r="F80" s="2" t="inlineStr">
        <is>
          <t>24120235</t>
        </is>
      </c>
      <c r="G80" s="2" t="inlineStr">
        <is>
          <t>Huynh Thanh Tu</t>
        </is>
      </c>
      <c r="H80" s="2" t="inlineStr">
        <is>
          <t>Sprint 2</t>
        </is>
      </c>
      <c r="I80" s="3" t="n">
        <v>46312</v>
      </c>
      <c r="J80" s="3" t="n">
        <v>46325</v>
      </c>
      <c r="K80" s="2" t="inlineStr">
        <is>
          <t>High</t>
        </is>
      </c>
      <c r="L80" s="2" t="inlineStr">
        <is>
          <t>subtask,PH-02,orig-025</t>
        </is>
      </c>
      <c r="M80" s="2" t="inlineStr">
        <is>
          <t>ORIG-025</t>
        </is>
      </c>
      <c r="N80" s="2" t="inlineStr">
        <is>
          <t>CIN-T-003</t>
        </is>
      </c>
      <c r="O80" s="2" t="inlineStr">
        <is>
          <t>PH-02</t>
        </is>
      </c>
      <c r="P80" s="2" t="inlineStr">
        <is>
          <t>CIN-T-004</t>
        </is>
      </c>
    </row>
    <row r="81">
      <c r="A81" s="2" t="inlineStr">
        <is>
          <t>Sub-task</t>
        </is>
      </c>
      <c r="B81" s="2" t="inlineStr">
        <is>
          <t>CIN-SUB-026</t>
        </is>
      </c>
      <c r="C81" s="2" t="inlineStr">
        <is>
          <t>CIN-T-004</t>
        </is>
      </c>
      <c r="D81" s="2" t="inlineStr">
        <is>
          <t>Thiết kế bảng Showtime</t>
        </is>
      </c>
      <c r="E81" s="2" t="inlineStr">
        <is>
          <t>Original Row ID: ORIG-026. Original task: Thiết kế bảng Showtime. Original description: Phim, phòng, thời gian bắt đầu, kết thúc, trạng thái.</t>
        </is>
      </c>
      <c r="F81" s="2" t="inlineStr">
        <is>
          <t>24120255</t>
        </is>
      </c>
      <c r="G81" s="2" t="inlineStr">
        <is>
          <t>Tran Thien An</t>
        </is>
      </c>
      <c r="H81" s="2" t="inlineStr">
        <is>
          <t>Sprint 2</t>
        </is>
      </c>
      <c r="I81" s="3" t="n">
        <v>46312</v>
      </c>
      <c r="J81" s="3" t="n">
        <v>46325</v>
      </c>
      <c r="K81" s="2" t="inlineStr">
        <is>
          <t>High</t>
        </is>
      </c>
      <c r="L81" s="2" t="inlineStr">
        <is>
          <t>subtask,PH-02,orig-026</t>
        </is>
      </c>
      <c r="M81" s="2" t="inlineStr">
        <is>
          <t>ORIG-026</t>
        </is>
      </c>
      <c r="N81" s="2" t="inlineStr">
        <is>
          <t>CIN-T-003</t>
        </is>
      </c>
      <c r="O81" s="2" t="inlineStr">
        <is>
          <t>PH-02</t>
        </is>
      </c>
      <c r="P81" s="2" t="inlineStr">
        <is>
          <t>CIN-T-004</t>
        </is>
      </c>
    </row>
    <row r="82">
      <c r="A82" s="2" t="inlineStr">
        <is>
          <t>Sub-task</t>
        </is>
      </c>
      <c r="B82" s="2" t="inlineStr">
        <is>
          <t>CIN-SUB-027</t>
        </is>
      </c>
      <c r="C82" s="2" t="inlineStr">
        <is>
          <t>CIN-T-005</t>
        </is>
      </c>
      <c r="D82" s="2" t="inlineStr">
        <is>
          <t>Thiết kế bảng Booking</t>
        </is>
      </c>
      <c r="E82" s="2" t="inlineStr">
        <is>
          <t>Original Row ID: ORIG-027. Original task: Thiết kế bảng Booking. Original description: Customer, thời gian đặt, tổng tiền, trạng thái.</t>
        </is>
      </c>
      <c r="F82" s="2" t="inlineStr">
        <is>
          <t>24120271</t>
        </is>
      </c>
      <c r="G82" s="2" t="inlineStr">
        <is>
          <t>Nguyen Trung Chinh</t>
        </is>
      </c>
      <c r="H82" s="2" t="inlineStr">
        <is>
          <t>Sprint 2</t>
        </is>
      </c>
      <c r="I82" s="3" t="n">
        <v>46312</v>
      </c>
      <c r="J82" s="3" t="n">
        <v>46325</v>
      </c>
      <c r="K82" s="2" t="inlineStr">
        <is>
          <t>High</t>
        </is>
      </c>
      <c r="L82" s="2" t="inlineStr">
        <is>
          <t>subtask,PH-02,orig-027</t>
        </is>
      </c>
      <c r="M82" s="2" t="inlineStr">
        <is>
          <t>ORIG-027</t>
        </is>
      </c>
      <c r="N82" s="2" t="inlineStr">
        <is>
          <t>CIN-T-004</t>
        </is>
      </c>
      <c r="O82" s="2" t="inlineStr">
        <is>
          <t>PH-02</t>
        </is>
      </c>
      <c r="P82" s="2" t="inlineStr">
        <is>
          <t>CIN-T-005</t>
        </is>
      </c>
    </row>
    <row r="83">
      <c r="A83" s="2" t="inlineStr">
        <is>
          <t>Sub-task</t>
        </is>
      </c>
      <c r="B83" s="2" t="inlineStr">
        <is>
          <t>CIN-SUB-028</t>
        </is>
      </c>
      <c r="C83" s="2" t="inlineStr">
        <is>
          <t>CIN-T-005</t>
        </is>
      </c>
      <c r="D83" s="2" t="inlineStr">
        <is>
          <t>Thiết kế bảng BookingDetail</t>
        </is>
      </c>
      <c r="E83" s="2" t="inlineStr">
        <is>
          <t>Original Row ID: ORIG-028. Original task: Thiết kế bảng BookingDetail. Original description: Ghế, loại vé, giá snapshot, sức chứa.</t>
        </is>
      </c>
      <c r="F83" s="2" t="inlineStr">
        <is>
          <t>24120098</t>
        </is>
      </c>
      <c r="G83" s="2" t="inlineStr">
        <is>
          <t>Nguyen Quoc Nam</t>
        </is>
      </c>
      <c r="H83" s="2" t="inlineStr">
        <is>
          <t>Sprint 2</t>
        </is>
      </c>
      <c r="I83" s="3" t="n">
        <v>46312</v>
      </c>
      <c r="J83" s="3" t="n">
        <v>46325</v>
      </c>
      <c r="K83" s="2" t="inlineStr">
        <is>
          <t>High</t>
        </is>
      </c>
      <c r="L83" s="2" t="inlineStr">
        <is>
          <t>subtask,PH-02,orig-028</t>
        </is>
      </c>
      <c r="M83" s="2" t="inlineStr">
        <is>
          <t>ORIG-028</t>
        </is>
      </c>
      <c r="N83" s="2" t="inlineStr">
        <is>
          <t>CIN-T-004</t>
        </is>
      </c>
      <c r="O83" s="2" t="inlineStr">
        <is>
          <t>PH-02</t>
        </is>
      </c>
      <c r="P83" s="2" t="inlineStr">
        <is>
          <t>CIN-T-005</t>
        </is>
      </c>
    </row>
    <row r="84">
      <c r="A84" s="2" t="inlineStr">
        <is>
          <t>Sub-task</t>
        </is>
      </c>
      <c r="B84" s="2" t="inlineStr">
        <is>
          <t>CIN-SUB-029</t>
        </is>
      </c>
      <c r="C84" s="2" t="inlineStr">
        <is>
          <t>CIN-T-005</t>
        </is>
      </c>
      <c r="D84" s="2" t="inlineStr">
        <is>
          <t>Thiết kế bảng Ticket</t>
        </is>
      </c>
      <c r="E84" s="2" t="inlineStr">
        <is>
          <t>Original Row ID: ORIG-029. Original task: Thiết kế bảng Ticket. Original description: Mã vé, booking, ghế, QR Code, trạng thái.</t>
        </is>
      </c>
      <c r="F84" s="2" t="inlineStr">
        <is>
          <t>24120244</t>
        </is>
      </c>
      <c r="G84" s="2" t="inlineStr">
        <is>
          <t>Phan Van Viet</t>
        </is>
      </c>
      <c r="H84" s="2" t="inlineStr">
        <is>
          <t>Sprint 2</t>
        </is>
      </c>
      <c r="I84" s="3" t="n">
        <v>46312</v>
      </c>
      <c r="J84" s="3" t="n">
        <v>46325</v>
      </c>
      <c r="K84" s="2" t="inlineStr">
        <is>
          <t>High</t>
        </is>
      </c>
      <c r="L84" s="2" t="inlineStr">
        <is>
          <t>subtask,PH-02,orig-029</t>
        </is>
      </c>
      <c r="M84" s="2" t="inlineStr">
        <is>
          <t>ORIG-029</t>
        </is>
      </c>
      <c r="N84" s="2" t="inlineStr">
        <is>
          <t>CIN-T-004</t>
        </is>
      </c>
      <c r="O84" s="2" t="inlineStr">
        <is>
          <t>PH-02</t>
        </is>
      </c>
      <c r="P84" s="2" t="inlineStr">
        <is>
          <t>CIN-T-005</t>
        </is>
      </c>
    </row>
    <row r="85">
      <c r="A85" s="2" t="inlineStr">
        <is>
          <t>Sub-task</t>
        </is>
      </c>
      <c r="B85" s="2" t="inlineStr">
        <is>
          <t>CIN-SUB-030</t>
        </is>
      </c>
      <c r="C85" s="2" t="inlineStr">
        <is>
          <t>CIN-T-005</t>
        </is>
      </c>
      <c r="D85" s="2" t="inlineStr">
        <is>
          <t>Thiết kế bảng Payment</t>
        </is>
      </c>
      <c r="E85" s="2" t="inlineStr">
        <is>
          <t>Original Row ID: ORIG-030. Original task: Thiết kế bảng Payment. Original description: Mã giao dịch, số tiền, phương thức, trạng thái.</t>
        </is>
      </c>
      <c r="F85" s="2" t="inlineStr">
        <is>
          <t>24120255</t>
        </is>
      </c>
      <c r="G85" s="2" t="inlineStr">
        <is>
          <t>Tran Thien An</t>
        </is>
      </c>
      <c r="H85" s="2" t="inlineStr">
        <is>
          <t>Sprint 2</t>
        </is>
      </c>
      <c r="I85" s="3" t="n">
        <v>46312</v>
      </c>
      <c r="J85" s="3" t="n">
        <v>46325</v>
      </c>
      <c r="K85" s="2" t="inlineStr">
        <is>
          <t>High</t>
        </is>
      </c>
      <c r="L85" s="2" t="inlineStr">
        <is>
          <t>subtask,PH-02,orig-030</t>
        </is>
      </c>
      <c r="M85" s="2" t="inlineStr">
        <is>
          <t>ORIG-030</t>
        </is>
      </c>
      <c r="N85" s="2" t="inlineStr">
        <is>
          <t>CIN-T-004</t>
        </is>
      </c>
      <c r="O85" s="2" t="inlineStr">
        <is>
          <t>PH-02</t>
        </is>
      </c>
      <c r="P85" s="2" t="inlineStr">
        <is>
          <t>CIN-T-005</t>
        </is>
      </c>
    </row>
    <row r="86">
      <c r="A86" s="2" t="inlineStr">
        <is>
          <t>Sub-task</t>
        </is>
      </c>
      <c r="B86" s="2" t="inlineStr">
        <is>
          <t>CIN-SUB-031</t>
        </is>
      </c>
      <c r="C86" s="2" t="inlineStr">
        <is>
          <t>CIN-T-005</t>
        </is>
      </c>
      <c r="D86" s="2" t="inlineStr">
        <is>
          <t>Thiết kế bảng User</t>
        </is>
      </c>
      <c r="E86" s="2" t="inlineStr">
        <is>
          <t>Original Row ID: ORIG-031. Original task: Thiết kế bảng User. Original description: Tài khoản người dùng.</t>
        </is>
      </c>
      <c r="F86" s="2" t="inlineStr">
        <is>
          <t>24120235</t>
        </is>
      </c>
      <c r="G86" s="2" t="inlineStr">
        <is>
          <t>Huynh Thanh Tu</t>
        </is>
      </c>
      <c r="H86" s="2" t="inlineStr">
        <is>
          <t>Sprint 2</t>
        </is>
      </c>
      <c r="I86" s="3" t="n">
        <v>46312</v>
      </c>
      <c r="J86" s="3" t="n">
        <v>46325</v>
      </c>
      <c r="K86" s="2" t="inlineStr">
        <is>
          <t>High</t>
        </is>
      </c>
      <c r="L86" s="2" t="inlineStr">
        <is>
          <t>subtask,PH-02,orig-031</t>
        </is>
      </c>
      <c r="M86" s="2" t="inlineStr">
        <is>
          <t>ORIG-031</t>
        </is>
      </c>
      <c r="N86" s="2" t="inlineStr">
        <is>
          <t>CIN-T-004</t>
        </is>
      </c>
      <c r="O86" s="2" t="inlineStr">
        <is>
          <t>PH-02</t>
        </is>
      </c>
      <c r="P86" s="2" t="inlineStr">
        <is>
          <t>CIN-T-005</t>
        </is>
      </c>
    </row>
    <row r="87">
      <c r="A87" s="2" t="inlineStr">
        <is>
          <t>Sub-task</t>
        </is>
      </c>
      <c r="B87" s="2" t="inlineStr">
        <is>
          <t>CIN-SUB-032</t>
        </is>
      </c>
      <c r="C87" s="2" t="inlineStr">
        <is>
          <t>CIN-T-005</t>
        </is>
      </c>
      <c r="D87" s="2" t="inlineStr">
        <is>
          <t>Thiết kế bảng Role</t>
        </is>
      </c>
      <c r="E87" s="2" t="inlineStr">
        <is>
          <t>Original Row ID: ORIG-032. Original task: Thiết kế bảng Role. Original description: Phân quyền.</t>
        </is>
      </c>
      <c r="F87" s="2" t="inlineStr">
        <is>
          <t>24120271</t>
        </is>
      </c>
      <c r="G87" s="2" t="inlineStr">
        <is>
          <t>Nguyen Trung Chinh</t>
        </is>
      </c>
      <c r="H87" s="2" t="inlineStr">
        <is>
          <t>Sprint 2</t>
        </is>
      </c>
      <c r="I87" s="3" t="n">
        <v>46312</v>
      </c>
      <c r="J87" s="3" t="n">
        <v>46325</v>
      </c>
      <c r="K87" s="2" t="inlineStr">
        <is>
          <t>High</t>
        </is>
      </c>
      <c r="L87" s="2" t="inlineStr">
        <is>
          <t>subtask,PH-02,orig-032</t>
        </is>
      </c>
      <c r="M87" s="2" t="inlineStr">
        <is>
          <t>ORIG-032</t>
        </is>
      </c>
      <c r="N87" s="2" t="inlineStr">
        <is>
          <t>CIN-T-004</t>
        </is>
      </c>
      <c r="O87" s="2" t="inlineStr">
        <is>
          <t>PH-02</t>
        </is>
      </c>
      <c r="P87" s="2" t="inlineStr">
        <is>
          <t>CIN-T-005</t>
        </is>
      </c>
    </row>
    <row r="88">
      <c r="A88" s="2" t="inlineStr">
        <is>
          <t>Sub-task</t>
        </is>
      </c>
      <c r="B88" s="2" t="inlineStr">
        <is>
          <t>CIN-SUB-033</t>
        </is>
      </c>
      <c r="C88" s="2" t="inlineStr">
        <is>
          <t>CIN-T-005</t>
        </is>
      </c>
      <c r="D88" s="2" t="inlineStr">
        <is>
          <t>Thiết kế bảng UserRole</t>
        </is>
      </c>
      <c r="E88" s="2" t="inlineStr">
        <is>
          <t>Original Row ID: ORIG-033. Original task: Thiết kế bảng UserRole. Original description: Quan hệ User – Role nếu cần.</t>
        </is>
      </c>
      <c r="F88" s="2" t="inlineStr">
        <is>
          <t>24120098</t>
        </is>
      </c>
      <c r="G88" s="2" t="inlineStr">
        <is>
          <t>Nguyen Quoc Nam</t>
        </is>
      </c>
      <c r="H88" s="2" t="inlineStr">
        <is>
          <t>Sprint 2</t>
        </is>
      </c>
      <c r="I88" s="3" t="n">
        <v>46312</v>
      </c>
      <c r="J88" s="3" t="n">
        <v>46325</v>
      </c>
      <c r="K88" s="2" t="inlineStr">
        <is>
          <t>High</t>
        </is>
      </c>
      <c r="L88" s="2" t="inlineStr">
        <is>
          <t>subtask,PH-02,orig-033</t>
        </is>
      </c>
      <c r="M88" s="2" t="inlineStr">
        <is>
          <t>ORIG-033</t>
        </is>
      </c>
      <c r="N88" s="2" t="inlineStr">
        <is>
          <t>CIN-T-004</t>
        </is>
      </c>
      <c r="O88" s="2" t="inlineStr">
        <is>
          <t>PH-02</t>
        </is>
      </c>
      <c r="P88" s="2" t="inlineStr">
        <is>
          <t>CIN-T-005</t>
        </is>
      </c>
    </row>
    <row r="89">
      <c r="A89" s="2" t="inlineStr">
        <is>
          <t>Sub-task</t>
        </is>
      </c>
      <c r="B89" s="2" t="inlineStr">
        <is>
          <t>CIN-SUB-034</t>
        </is>
      </c>
      <c r="C89" s="2" t="inlineStr">
        <is>
          <t>CIN-T-006</t>
        </is>
      </c>
      <c r="D89" s="2" t="inlineStr">
        <is>
          <t>Thiết kế quan hệ</t>
        </is>
      </c>
      <c r="E89" s="2" t="inlineStr">
        <is>
          <t>Original Row ID: ORIG-034. Original task: Thiết kế quan hệ. Original description: Xác định 1-1, 1-N, N-N.</t>
        </is>
      </c>
      <c r="F89" s="2" t="inlineStr">
        <is>
          <t>24120244</t>
        </is>
      </c>
      <c r="G89" s="2" t="inlineStr">
        <is>
          <t>Phan Van Viet</t>
        </is>
      </c>
      <c r="H89" s="2" t="inlineStr">
        <is>
          <t>Sprint 2</t>
        </is>
      </c>
      <c r="I89" s="3" t="n">
        <v>46312</v>
      </c>
      <c r="J89" s="3" t="n">
        <v>46325</v>
      </c>
      <c r="K89" s="2" t="inlineStr">
        <is>
          <t>High</t>
        </is>
      </c>
      <c r="L89" s="2" t="inlineStr">
        <is>
          <t>subtask,PH-02,orig-034</t>
        </is>
      </c>
      <c r="M89" s="2" t="inlineStr">
        <is>
          <t>ORIG-034</t>
        </is>
      </c>
      <c r="N89" s="2" t="inlineStr">
        <is>
          <t>CIN-T-005</t>
        </is>
      </c>
      <c r="O89" s="2" t="inlineStr">
        <is>
          <t>PH-02</t>
        </is>
      </c>
      <c r="P89" s="2" t="inlineStr">
        <is>
          <t>CIN-T-006</t>
        </is>
      </c>
    </row>
    <row r="90">
      <c r="A90" s="2" t="inlineStr">
        <is>
          <t>Sub-task</t>
        </is>
      </c>
      <c r="B90" s="2" t="inlineStr">
        <is>
          <t>CIN-SUB-035</t>
        </is>
      </c>
      <c r="C90" s="2" t="inlineStr">
        <is>
          <t>CIN-T-006</t>
        </is>
      </c>
      <c r="D90" s="2" t="inlineStr">
        <is>
          <t>Xác định PK/FK</t>
        </is>
      </c>
      <c r="E90" s="2" t="inlineStr">
        <is>
          <t>Original Row ID: ORIG-035. Original task: Xác định PK/FK. Original description: Khóa chính và khóa ngoại.</t>
        </is>
      </c>
      <c r="F90" s="2" t="inlineStr">
        <is>
          <t>24120235</t>
        </is>
      </c>
      <c r="G90" s="2" t="inlineStr">
        <is>
          <t>Huynh Thanh Tu</t>
        </is>
      </c>
      <c r="H90" s="2" t="inlineStr">
        <is>
          <t>Sprint 2</t>
        </is>
      </c>
      <c r="I90" s="3" t="n">
        <v>46312</v>
      </c>
      <c r="J90" s="3" t="n">
        <v>46325</v>
      </c>
      <c r="K90" s="2" t="inlineStr">
        <is>
          <t>High</t>
        </is>
      </c>
      <c r="L90" s="2" t="inlineStr">
        <is>
          <t>subtask,PH-02,orig-035</t>
        </is>
      </c>
      <c r="M90" s="2" t="inlineStr">
        <is>
          <t>ORIG-035</t>
        </is>
      </c>
      <c r="N90" s="2" t="inlineStr">
        <is>
          <t>CIN-T-005</t>
        </is>
      </c>
      <c r="O90" s="2" t="inlineStr">
        <is>
          <t>PH-02</t>
        </is>
      </c>
      <c r="P90" s="2" t="inlineStr">
        <is>
          <t>CIN-T-006</t>
        </is>
      </c>
    </row>
    <row r="91">
      <c r="A91" s="2" t="inlineStr">
        <is>
          <t>Sub-task</t>
        </is>
      </c>
      <c r="B91" s="2" t="inlineStr">
        <is>
          <t>CIN-SUB-036</t>
        </is>
      </c>
      <c r="C91" s="2" t="inlineStr">
        <is>
          <t>CIN-T-006</t>
        </is>
      </c>
      <c r="D91" s="2" t="inlineStr">
        <is>
          <t>Xác định kiểu dữ liệu</t>
        </is>
      </c>
      <c r="E91" s="2" t="inlineStr">
        <is>
          <t>Original Row ID: ORIG-036. Original task: Xác định kiểu dữ liệu. Original description: bigint, smallint, varchar(n), text, numeric(14,0) / numeric(18,2), timestamptz (có múi giờ UTC), boolean, uuid, jsonb.</t>
        </is>
      </c>
      <c r="F91" s="2" t="inlineStr">
        <is>
          <t>24120255</t>
        </is>
      </c>
      <c r="G91" s="2" t="inlineStr">
        <is>
          <t>Tran Thien An</t>
        </is>
      </c>
      <c r="H91" s="2" t="inlineStr">
        <is>
          <t>Sprint 2</t>
        </is>
      </c>
      <c r="I91" s="3" t="n">
        <v>46312</v>
      </c>
      <c r="J91" s="3" t="n">
        <v>46325</v>
      </c>
      <c r="K91" s="2" t="inlineStr">
        <is>
          <t>High</t>
        </is>
      </c>
      <c r="L91" s="2" t="inlineStr">
        <is>
          <t>subtask,PH-02,orig-036</t>
        </is>
      </c>
      <c r="M91" s="2" t="inlineStr">
        <is>
          <t>ORIG-036</t>
        </is>
      </c>
      <c r="N91" s="2" t="inlineStr">
        <is>
          <t>CIN-T-005</t>
        </is>
      </c>
      <c r="O91" s="2" t="inlineStr">
        <is>
          <t>PH-02</t>
        </is>
      </c>
      <c r="P91" s="2" t="inlineStr">
        <is>
          <t>CIN-T-006</t>
        </is>
      </c>
    </row>
    <row r="92">
      <c r="A92" s="2" t="inlineStr">
        <is>
          <t>Sub-task</t>
        </is>
      </c>
      <c r="B92" s="2" t="inlineStr">
        <is>
          <t>CIN-SUB-037</t>
        </is>
      </c>
      <c r="C92" s="2" t="inlineStr">
        <is>
          <t>CIN-T-006</t>
        </is>
      </c>
      <c r="D92" s="2" t="inlineStr">
        <is>
          <t>Thiết lập ràng buộc</t>
        </is>
      </c>
      <c r="E92" s="2" t="inlineStr">
        <is>
          <t>Original Row ID: ORIG-037. Original task: Thiết lập ràng buộc. Original description: NOT NULL, UNIQUE, CHECK, FK,....</t>
        </is>
      </c>
      <c r="F92" s="2" t="inlineStr">
        <is>
          <t>24120271</t>
        </is>
      </c>
      <c r="G92" s="2" t="inlineStr">
        <is>
          <t>Nguyen Trung Chinh</t>
        </is>
      </c>
      <c r="H92" s="2" t="inlineStr">
        <is>
          <t>Sprint 2</t>
        </is>
      </c>
      <c r="I92" s="3" t="n">
        <v>46312</v>
      </c>
      <c r="J92" s="3" t="n">
        <v>46325</v>
      </c>
      <c r="K92" s="2" t="inlineStr">
        <is>
          <t>High</t>
        </is>
      </c>
      <c r="L92" s="2" t="inlineStr">
        <is>
          <t>subtask,PH-02,orig-037</t>
        </is>
      </c>
      <c r="M92" s="2" t="inlineStr">
        <is>
          <t>ORIG-037</t>
        </is>
      </c>
      <c r="N92" s="2" t="inlineStr">
        <is>
          <t>CIN-T-005</t>
        </is>
      </c>
      <c r="O92" s="2" t="inlineStr">
        <is>
          <t>PH-02</t>
        </is>
      </c>
      <c r="P92" s="2" t="inlineStr">
        <is>
          <t>CIN-T-006</t>
        </is>
      </c>
    </row>
    <row r="93">
      <c r="A93" s="2" t="inlineStr">
        <is>
          <t>Sub-task</t>
        </is>
      </c>
      <c r="B93" s="2" t="inlineStr">
        <is>
          <t>CIN-SUB-038</t>
        </is>
      </c>
      <c r="C93" s="2" t="inlineStr">
        <is>
          <t>CIN-T-006</t>
        </is>
      </c>
      <c r="D93" s="2" t="inlineStr">
        <is>
          <t>Kiểm tra tính toàn vẹn</t>
        </is>
      </c>
      <c r="E93" s="2" t="inlineStr">
        <is>
          <t>Original Row ID: ORIG-038. Original task: Kiểm tra tính toàn vẹn. Original description: Đảm bảo dữ liệu nhất quán.</t>
        </is>
      </c>
      <c r="F93" s="2" t="inlineStr">
        <is>
          <t>24120098</t>
        </is>
      </c>
      <c r="G93" s="2" t="inlineStr">
        <is>
          <t>Nguyen Quoc Nam</t>
        </is>
      </c>
      <c r="H93" s="2" t="inlineStr">
        <is>
          <t>Sprint 2</t>
        </is>
      </c>
      <c r="I93" s="3" t="n">
        <v>46312</v>
      </c>
      <c r="J93" s="3" t="n">
        <v>46325</v>
      </c>
      <c r="K93" s="2" t="inlineStr">
        <is>
          <t>High</t>
        </is>
      </c>
      <c r="L93" s="2" t="inlineStr">
        <is>
          <t>subtask,PH-02,orig-038</t>
        </is>
      </c>
      <c r="M93" s="2" t="inlineStr">
        <is>
          <t>ORIG-038</t>
        </is>
      </c>
      <c r="N93" s="2" t="inlineStr">
        <is>
          <t>CIN-T-005</t>
        </is>
      </c>
      <c r="O93" s="2" t="inlineStr">
        <is>
          <t>PH-02</t>
        </is>
      </c>
      <c r="P93" s="2" t="inlineStr">
        <is>
          <t>CIN-T-006</t>
        </is>
      </c>
    </row>
    <row r="94">
      <c r="A94" s="2" t="inlineStr">
        <is>
          <t>Sub-task</t>
        </is>
      </c>
      <c r="B94" s="2" t="inlineStr">
        <is>
          <t>CIN-SUB-039</t>
        </is>
      </c>
      <c r="C94" s="2" t="inlineStr">
        <is>
          <t>CIN-T-006</t>
        </is>
      </c>
      <c r="D94" s="2" t="inlineStr">
        <is>
          <t>Kiểm tra trùng lịch</t>
        </is>
      </c>
      <c r="E94" s="2" t="inlineStr">
        <is>
          <t>Original Row ID: ORIG-039. Original task: Kiểm tra trùng lịch. Original description: Một phòng không có hai suất chiếu chồng thời gian.</t>
        </is>
      </c>
      <c r="F94" s="2" t="inlineStr">
        <is>
          <t>24120244</t>
        </is>
      </c>
      <c r="G94" s="2" t="inlineStr">
        <is>
          <t>Phan Van Viet</t>
        </is>
      </c>
      <c r="H94" s="2" t="inlineStr">
        <is>
          <t>Sprint 2</t>
        </is>
      </c>
      <c r="I94" s="3" t="n">
        <v>46312</v>
      </c>
      <c r="J94" s="3" t="n">
        <v>46325</v>
      </c>
      <c r="K94" s="2" t="inlineStr">
        <is>
          <t>High</t>
        </is>
      </c>
      <c r="L94" s="2" t="inlineStr">
        <is>
          <t>subtask,PH-02,orig-039</t>
        </is>
      </c>
      <c r="M94" s="2" t="inlineStr">
        <is>
          <t>ORIG-039</t>
        </is>
      </c>
      <c r="N94" s="2" t="inlineStr">
        <is>
          <t>CIN-T-005</t>
        </is>
      </c>
      <c r="O94" s="2" t="inlineStr">
        <is>
          <t>PH-02</t>
        </is>
      </c>
      <c r="P94" s="2" t="inlineStr">
        <is>
          <t>CIN-T-006</t>
        </is>
      </c>
    </row>
    <row r="95">
      <c r="A95" s="2" t="inlineStr">
        <is>
          <t>Sub-task</t>
        </is>
      </c>
      <c r="B95" s="2" t="inlineStr">
        <is>
          <t>CIN-SUB-040</t>
        </is>
      </c>
      <c r="C95" s="2" t="inlineStr">
        <is>
          <t>CIN-T-006</t>
        </is>
      </c>
      <c r="D95" s="2" t="inlineStr">
        <is>
          <t>Kiểm tra trùng ghế</t>
        </is>
      </c>
      <c r="E95" s="2" t="inlineStr">
        <is>
          <t>Original Row ID: ORIG-040. Original task: Kiểm tra trùng ghế. Original description: Một ghế không thể bán cho hai khách trong cùng suất.</t>
        </is>
      </c>
      <c r="F95" s="2" t="inlineStr">
        <is>
          <t>24120235</t>
        </is>
      </c>
      <c r="G95" s="2" t="inlineStr">
        <is>
          <t>Huynh Thanh Tu</t>
        </is>
      </c>
      <c r="H95" s="2" t="inlineStr">
        <is>
          <t>Sprint 2</t>
        </is>
      </c>
      <c r="I95" s="3" t="n">
        <v>46312</v>
      </c>
      <c r="J95" s="3" t="n">
        <v>46325</v>
      </c>
      <c r="K95" s="2" t="inlineStr">
        <is>
          <t>High</t>
        </is>
      </c>
      <c r="L95" s="2" t="inlineStr">
        <is>
          <t>subtask,PH-02,orig-040</t>
        </is>
      </c>
      <c r="M95" s="2" t="inlineStr">
        <is>
          <t>ORIG-040</t>
        </is>
      </c>
      <c r="N95" s="2" t="inlineStr">
        <is>
          <t>CIN-T-005</t>
        </is>
      </c>
      <c r="O95" s="2" t="inlineStr">
        <is>
          <t>PH-02</t>
        </is>
      </c>
      <c r="P95" s="2" t="inlineStr">
        <is>
          <t>CIN-T-006</t>
        </is>
      </c>
    </row>
    <row r="96">
      <c r="A96" s="2" t="inlineStr">
        <is>
          <t>Sub-task</t>
        </is>
      </c>
      <c r="B96" s="2" t="inlineStr">
        <is>
          <t>CIN-SUB-041</t>
        </is>
      </c>
      <c r="C96" s="2" t="inlineStr">
        <is>
          <t>CIN-T-006</t>
        </is>
      </c>
      <c r="D96" s="2" t="inlineStr">
        <is>
          <t>Thiết kế trạng thái</t>
        </is>
      </c>
      <c r="E96" s="2" t="inlineStr">
        <is>
          <t>Original Row ID: ORIG-041. Original task: Thiết kế trạng thái. Original description: Movie, Showtime, Seat, Booking, Ticket, Payment.</t>
        </is>
      </c>
      <c r="F96" s="2" t="inlineStr">
        <is>
          <t>24120255</t>
        </is>
      </c>
      <c r="G96" s="2" t="inlineStr">
        <is>
          <t>Tran Thien An</t>
        </is>
      </c>
      <c r="H96" s="2" t="inlineStr">
        <is>
          <t>Sprint 2</t>
        </is>
      </c>
      <c r="I96" s="3" t="n">
        <v>46312</v>
      </c>
      <c r="J96" s="3" t="n">
        <v>46325</v>
      </c>
      <c r="K96" s="2" t="inlineStr">
        <is>
          <t>High</t>
        </is>
      </c>
      <c r="L96" s="2" t="inlineStr">
        <is>
          <t>subtask,PH-02,orig-041</t>
        </is>
      </c>
      <c r="M96" s="2" t="inlineStr">
        <is>
          <t>ORIG-041</t>
        </is>
      </c>
      <c r="N96" s="2" t="inlineStr">
        <is>
          <t>CIN-T-005</t>
        </is>
      </c>
      <c r="O96" s="2" t="inlineStr">
        <is>
          <t>PH-02</t>
        </is>
      </c>
      <c r="P96" s="2" t="inlineStr">
        <is>
          <t>CIN-T-006</t>
        </is>
      </c>
    </row>
    <row r="97">
      <c r="A97" s="2" t="inlineStr">
        <is>
          <t>Sub-task</t>
        </is>
      </c>
      <c r="B97" s="2" t="inlineStr">
        <is>
          <t>CIN-SUB-042</t>
        </is>
      </c>
      <c r="C97" s="2" t="inlineStr">
        <is>
          <t>CIN-T-006</t>
        </is>
      </c>
      <c r="D97" s="2" t="inlineStr">
        <is>
          <t>Thiết kế quy tắc xóa</t>
        </is>
      </c>
      <c r="E97" s="2" t="inlineStr">
        <is>
          <t>Original Row ID: ORIG-042. Original task: Thiết kế quy tắc xóa. Original description: Restrict / Cascade / Soft Delete.</t>
        </is>
      </c>
      <c r="F97" s="2" t="inlineStr">
        <is>
          <t>24120271</t>
        </is>
      </c>
      <c r="G97" s="2" t="inlineStr">
        <is>
          <t>Nguyen Trung Chinh</t>
        </is>
      </c>
      <c r="H97" s="2" t="inlineStr">
        <is>
          <t>Sprint 2</t>
        </is>
      </c>
      <c r="I97" s="3" t="n">
        <v>46312</v>
      </c>
      <c r="J97" s="3" t="n">
        <v>46325</v>
      </c>
      <c r="K97" s="2" t="inlineStr">
        <is>
          <t>High</t>
        </is>
      </c>
      <c r="L97" s="2" t="inlineStr">
        <is>
          <t>subtask,PH-02,orig-042</t>
        </is>
      </c>
      <c r="M97" s="2" t="inlineStr">
        <is>
          <t>ORIG-042</t>
        </is>
      </c>
      <c r="N97" s="2" t="inlineStr">
        <is>
          <t>CIN-T-005</t>
        </is>
      </c>
      <c r="O97" s="2" t="inlineStr">
        <is>
          <t>PH-02</t>
        </is>
      </c>
      <c r="P97" s="2" t="inlineStr">
        <is>
          <t>CIN-T-006</t>
        </is>
      </c>
    </row>
    <row r="98">
      <c r="A98" s="2" t="inlineStr">
        <is>
          <t>Sub-task</t>
        </is>
      </c>
      <c r="B98" s="2" t="inlineStr">
        <is>
          <t>CIN-SUB-043</t>
        </is>
      </c>
      <c r="C98" s="2" t="inlineStr">
        <is>
          <t>CIN-T-006</t>
        </is>
      </c>
      <c r="D98" s="2" t="inlineStr">
        <is>
          <t>Chuẩn hóa Database</t>
        </is>
      </c>
      <c r="E98" s="2" t="inlineStr">
        <is>
          <t>Original Row ID: ORIG-043. Original task: Chuẩn hóa Database. Original description: Giảm dư thừa dữ liệu.</t>
        </is>
      </c>
      <c r="F98" s="2" t="inlineStr">
        <is>
          <t>24120098</t>
        </is>
      </c>
      <c r="G98" s="2" t="inlineStr">
        <is>
          <t>Nguyen Quoc Nam</t>
        </is>
      </c>
      <c r="H98" s="2" t="inlineStr">
        <is>
          <t>Sprint 2</t>
        </is>
      </c>
      <c r="I98" s="3" t="n">
        <v>46312</v>
      </c>
      <c r="J98" s="3" t="n">
        <v>46325</v>
      </c>
      <c r="K98" s="2" t="inlineStr">
        <is>
          <t>High</t>
        </is>
      </c>
      <c r="L98" s="2" t="inlineStr">
        <is>
          <t>subtask,PH-02,orig-043</t>
        </is>
      </c>
      <c r="M98" s="2" t="inlineStr">
        <is>
          <t>ORIG-043</t>
        </is>
      </c>
      <c r="N98" s="2" t="inlineStr">
        <is>
          <t>CIN-T-005</t>
        </is>
      </c>
      <c r="O98" s="2" t="inlineStr">
        <is>
          <t>PH-02</t>
        </is>
      </c>
      <c r="P98" s="2" t="inlineStr">
        <is>
          <t>CIN-T-006</t>
        </is>
      </c>
    </row>
    <row r="99">
      <c r="A99" s="2" t="inlineStr">
        <is>
          <t>Sub-task</t>
        </is>
      </c>
      <c r="B99" s="2" t="inlineStr">
        <is>
          <t>CIN-SUB-044</t>
        </is>
      </c>
      <c r="C99" s="2" t="inlineStr">
        <is>
          <t>CIN-T-006</t>
        </is>
      </c>
      <c r="D99" s="2" t="inlineStr">
        <is>
          <t>Kiểm tra Index</t>
        </is>
      </c>
      <c r="E99" s="2" t="inlineStr">
        <is>
          <t>Original Row ID: ORIG-044. Original task: Kiểm tra Index. Original description: Index cho các trường thường tìm kiếm.</t>
        </is>
      </c>
      <c r="F99" s="2" t="inlineStr">
        <is>
          <t>24120244</t>
        </is>
      </c>
      <c r="G99" s="2" t="inlineStr">
        <is>
          <t>Phan Van Viet</t>
        </is>
      </c>
      <c r="H99" s="2" t="inlineStr">
        <is>
          <t>Sprint 2</t>
        </is>
      </c>
      <c r="I99" s="3" t="n">
        <v>46312</v>
      </c>
      <c r="J99" s="3" t="n">
        <v>46325</v>
      </c>
      <c r="K99" s="2" t="inlineStr">
        <is>
          <t>High</t>
        </is>
      </c>
      <c r="L99" s="2" t="inlineStr">
        <is>
          <t>subtask,PH-02,orig-044</t>
        </is>
      </c>
      <c r="M99" s="2" t="inlineStr">
        <is>
          <t>ORIG-044</t>
        </is>
      </c>
      <c r="N99" s="2" t="inlineStr">
        <is>
          <t>CIN-T-005</t>
        </is>
      </c>
      <c r="O99" s="2" t="inlineStr">
        <is>
          <t>PH-02</t>
        </is>
      </c>
      <c r="P99" s="2" t="inlineStr">
        <is>
          <t>CIN-T-006</t>
        </is>
      </c>
    </row>
    <row r="100">
      <c r="A100" s="2" t="inlineStr">
        <is>
          <t>Sub-task</t>
        </is>
      </c>
      <c r="B100" s="2" t="inlineStr">
        <is>
          <t>CIN-SUB-045</t>
        </is>
      </c>
      <c r="C100" s="2" t="inlineStr">
        <is>
          <t>CIN-T-007</t>
        </is>
      </c>
      <c r="D100" s="2" t="inlineStr">
        <is>
          <t>Vẽ ERD</t>
        </is>
      </c>
      <c r="E100" s="2" t="inlineStr">
        <is>
          <t>Original Row ID: ORIG-045. Original task: Vẽ ERD. Original description: Hoàn thiện Entity Relationship Diagram.</t>
        </is>
      </c>
      <c r="F100" s="2" t="inlineStr">
        <is>
          <t>24120271</t>
        </is>
      </c>
      <c r="G100" s="2" t="inlineStr">
        <is>
          <t>Nguyen Trung Chinh</t>
        </is>
      </c>
      <c r="H100" s="2" t="inlineStr">
        <is>
          <t>Sprint 2</t>
        </is>
      </c>
      <c r="I100" s="3" t="n">
        <v>46312</v>
      </c>
      <c r="J100" s="3" t="n">
        <v>46325</v>
      </c>
      <c r="K100" s="2" t="inlineStr">
        <is>
          <t>High</t>
        </is>
      </c>
      <c r="L100" s="2" t="inlineStr">
        <is>
          <t>subtask,PH-02,orig-045</t>
        </is>
      </c>
      <c r="M100" s="2" t="inlineStr">
        <is>
          <t>ORIG-045</t>
        </is>
      </c>
      <c r="N100" s="2" t="inlineStr">
        <is>
          <t>CIN-T-006</t>
        </is>
      </c>
      <c r="O100" s="2" t="inlineStr">
        <is>
          <t>PH-02</t>
        </is>
      </c>
      <c r="P100" s="2" t="inlineStr">
        <is>
          <t>CIN-T-007</t>
        </is>
      </c>
    </row>
    <row r="101">
      <c r="A101" s="2" t="inlineStr">
        <is>
          <t>Sub-task</t>
        </is>
      </c>
      <c r="B101" s="2" t="inlineStr">
        <is>
          <t>CIN-SUB-046</t>
        </is>
      </c>
      <c r="C101" s="2" t="inlineStr">
        <is>
          <t>CIN-T-007</t>
        </is>
      </c>
      <c r="D101" s="2" t="inlineStr">
        <is>
          <t>Hoàn thiện Relational Schema</t>
        </is>
      </c>
      <c r="E101" s="2" t="inlineStr">
        <is>
          <t>Original Row ID: ORIG-046. Original task: Hoàn thiện Relational Schema. Original description: Lược đồ quan hệ cuối cùng.</t>
        </is>
      </c>
      <c r="F101" s="2" t="inlineStr">
        <is>
          <t>24120235</t>
        </is>
      </c>
      <c r="G101" s="2" t="inlineStr">
        <is>
          <t>Huynh Thanh Tu</t>
        </is>
      </c>
      <c r="H101" s="2" t="inlineStr">
        <is>
          <t>Sprint 2</t>
        </is>
      </c>
      <c r="I101" s="3" t="n">
        <v>46312</v>
      </c>
      <c r="J101" s="3" t="n">
        <v>46325</v>
      </c>
      <c r="K101" s="2" t="inlineStr">
        <is>
          <t>High</t>
        </is>
      </c>
      <c r="L101" s="2" t="inlineStr">
        <is>
          <t>subtask,PH-02,orig-046</t>
        </is>
      </c>
      <c r="M101" s="2" t="inlineStr">
        <is>
          <t>ORIG-046</t>
        </is>
      </c>
      <c r="N101" s="2" t="inlineStr">
        <is>
          <t>CIN-T-006</t>
        </is>
      </c>
      <c r="O101" s="2" t="inlineStr">
        <is>
          <t>PH-02</t>
        </is>
      </c>
      <c r="P101" s="2" t="inlineStr">
        <is>
          <t>CIN-T-007</t>
        </is>
      </c>
    </row>
    <row r="102">
      <c r="A102" s="2" t="inlineStr">
        <is>
          <t>Sub-task</t>
        </is>
      </c>
      <c r="B102" s="2" t="inlineStr">
        <is>
          <t>CIN-SUB-047</t>
        </is>
      </c>
      <c r="C102" s="2" t="inlineStr">
        <is>
          <t>CIN-T-008</t>
        </is>
      </c>
      <c r="D102" s="2" t="inlineStr">
        <is>
          <t>Xác định Customer User Flow</t>
        </is>
      </c>
      <c r="E102" s="2" t="inlineStr">
        <is>
          <t>Original Row ID: ORIG-047. Original task: Xác định Customer User Flow. Original description: Home → Movie Detail → Showtime → Seat Selection → Ticket Type → Booking Confirmation → Payment → Payment Result → My Tickets.</t>
        </is>
      </c>
      <c r="F102" s="2" t="inlineStr">
        <is>
          <t>24120255</t>
        </is>
      </c>
      <c r="G102" s="2" t="inlineStr">
        <is>
          <t>Tran Thien An</t>
        </is>
      </c>
      <c r="H102" s="2" t="inlineStr">
        <is>
          <t>Sprint 2</t>
        </is>
      </c>
      <c r="I102" s="3" t="n">
        <v>46312</v>
      </c>
      <c r="J102" s="3" t="n">
        <v>46325</v>
      </c>
      <c r="K102" s="2" t="inlineStr">
        <is>
          <t>High</t>
        </is>
      </c>
      <c r="L102" s="2" t="inlineStr">
        <is>
          <t>subtask,PH-02,orig-047</t>
        </is>
      </c>
      <c r="M102" s="2" t="inlineStr">
        <is>
          <t>ORIG-047</t>
        </is>
      </c>
      <c r="N102" s="2" t="inlineStr">
        <is>
          <t>CIN-T-003</t>
        </is>
      </c>
      <c r="O102" s="2" t="inlineStr">
        <is>
          <t>PH-02</t>
        </is>
      </c>
      <c r="P102" s="2" t="inlineStr">
        <is>
          <t>CIN-T-008</t>
        </is>
      </c>
    </row>
    <row r="103">
      <c r="A103" s="2" t="inlineStr">
        <is>
          <t>Sub-task</t>
        </is>
      </c>
      <c r="B103" s="2" t="inlineStr">
        <is>
          <t>CIN-SUB-048</t>
        </is>
      </c>
      <c r="C103" s="2" t="inlineStr">
        <is>
          <t>CIN-T-008</t>
        </is>
      </c>
      <c r="D103" s="2" t="inlineStr">
        <is>
          <t>Xác định danh sách màn hình Customer</t>
        </is>
      </c>
      <c r="E103" s="2" t="inlineStr">
        <is>
          <t>Original Row ID: ORIG-048. Original task: Xác định danh sách màn hình Customer. Original description: Xác định toàn bộ màn hình cần có cho Customer.</t>
        </is>
      </c>
      <c r="F103" s="2" t="inlineStr">
        <is>
          <t>24120244</t>
        </is>
      </c>
      <c r="G103" s="2" t="inlineStr">
        <is>
          <t>Phan Van Viet</t>
        </is>
      </c>
      <c r="H103" s="2" t="inlineStr">
        <is>
          <t>Sprint 2</t>
        </is>
      </c>
      <c r="I103" s="3" t="n">
        <v>46312</v>
      </c>
      <c r="J103" s="3" t="n">
        <v>46325</v>
      </c>
      <c r="K103" s="2" t="inlineStr">
        <is>
          <t>High</t>
        </is>
      </c>
      <c r="L103" s="2" t="inlineStr">
        <is>
          <t>subtask,PH-02,orig-048</t>
        </is>
      </c>
      <c r="M103" s="2" t="inlineStr">
        <is>
          <t>ORIG-048</t>
        </is>
      </c>
      <c r="N103" s="2" t="inlineStr">
        <is>
          <t>CIN-T-003</t>
        </is>
      </c>
      <c r="O103" s="2" t="inlineStr">
        <is>
          <t>PH-02</t>
        </is>
      </c>
      <c r="P103" s="2" t="inlineStr">
        <is>
          <t>CIN-T-008</t>
        </is>
      </c>
    </row>
    <row r="104">
      <c r="A104" s="2" t="inlineStr">
        <is>
          <t>Sub-task</t>
        </is>
      </c>
      <c r="B104" s="2" t="inlineStr">
        <is>
          <t>CIN-SUB-049</t>
        </is>
      </c>
      <c r="C104" s="2" t="inlineStr">
        <is>
          <t>CIN-T-008</t>
        </is>
      </c>
      <c r="D104" s="2" t="inlineStr">
        <is>
          <t>Web Layout</t>
        </is>
      </c>
      <c r="E104" s="2" t="inlineStr">
        <is>
          <t>Original Row ID: ORIG-049. Original task: Web Layout. Original description: Header, Footer, Navigation, Responsive.</t>
        </is>
      </c>
      <c r="F104" s="2" t="inlineStr">
        <is>
          <t>24120098</t>
        </is>
      </c>
      <c r="G104" s="2" t="inlineStr">
        <is>
          <t>Nguyen Quoc Nam</t>
        </is>
      </c>
      <c r="H104" s="2" t="inlineStr">
        <is>
          <t>Sprint 2</t>
        </is>
      </c>
      <c r="I104" s="3" t="n">
        <v>46312</v>
      </c>
      <c r="J104" s="3" t="n">
        <v>46325</v>
      </c>
      <c r="K104" s="2" t="inlineStr">
        <is>
          <t>High</t>
        </is>
      </c>
      <c r="L104" s="2" t="inlineStr">
        <is>
          <t>subtask,PH-02,orig-049</t>
        </is>
      </c>
      <c r="M104" s="2" t="inlineStr">
        <is>
          <t>ORIG-049</t>
        </is>
      </c>
      <c r="N104" s="2" t="inlineStr">
        <is>
          <t>CIN-T-003</t>
        </is>
      </c>
      <c r="O104" s="2" t="inlineStr">
        <is>
          <t>PH-02</t>
        </is>
      </c>
      <c r="P104" s="2" t="inlineStr">
        <is>
          <t>CIN-T-008</t>
        </is>
      </c>
    </row>
    <row r="105">
      <c r="A105" s="2" t="inlineStr">
        <is>
          <t>Sub-task</t>
        </is>
      </c>
      <c r="B105" s="2" t="inlineStr">
        <is>
          <t>CIN-SUB-050</t>
        </is>
      </c>
      <c r="C105" s="2" t="inlineStr">
        <is>
          <t>CIN-T-008</t>
        </is>
      </c>
      <c r="D105" s="2" t="inlineStr">
        <is>
          <t>Navigation</t>
        </is>
      </c>
      <c r="E105" s="2" t="inlineStr">
        <is>
          <t>Original Row ID: ORIG-050. Original task: Navigation. Original description: Xác định các menu và đường dẫn giữa các màn hình.</t>
        </is>
      </c>
      <c r="F105" s="2" t="inlineStr">
        <is>
          <t>24120271</t>
        </is>
      </c>
      <c r="G105" s="2" t="inlineStr">
        <is>
          <t>Nguyen Trung Chinh</t>
        </is>
      </c>
      <c r="H105" s="2" t="inlineStr">
        <is>
          <t>Sprint 2</t>
        </is>
      </c>
      <c r="I105" s="3" t="n">
        <v>46312</v>
      </c>
      <c r="J105" s="3" t="n">
        <v>46325</v>
      </c>
      <c r="K105" s="2" t="inlineStr">
        <is>
          <t>High</t>
        </is>
      </c>
      <c r="L105" s="2" t="inlineStr">
        <is>
          <t>subtask,PH-02,orig-050</t>
        </is>
      </c>
      <c r="M105" s="2" t="inlineStr">
        <is>
          <t>ORIG-050</t>
        </is>
      </c>
      <c r="N105" s="2" t="inlineStr">
        <is>
          <t>CIN-T-003</t>
        </is>
      </c>
      <c r="O105" s="2" t="inlineStr">
        <is>
          <t>PH-02</t>
        </is>
      </c>
      <c r="P105" s="2" t="inlineStr">
        <is>
          <t>CIN-T-008</t>
        </is>
      </c>
    </row>
    <row r="106">
      <c r="A106" s="2" t="inlineStr">
        <is>
          <t>Sub-task</t>
        </is>
      </c>
      <c r="B106" s="2" t="inlineStr">
        <is>
          <t>CIN-SUB-051</t>
        </is>
      </c>
      <c r="C106" s="2" t="inlineStr">
        <is>
          <t>CIN-T-009</t>
        </is>
      </c>
      <c r="D106" s="2" t="inlineStr">
        <is>
          <t>Trang Home</t>
        </is>
      </c>
      <c r="E106" s="2" t="inlineStr">
        <is>
          <t>Original Row ID: ORIG-051. Original task: Trang Home. Original description: Phim đang chiếu / sắp chiếu.</t>
        </is>
      </c>
      <c r="F106" s="2" t="inlineStr">
        <is>
          <t>24120244</t>
        </is>
      </c>
      <c r="G106" s="2" t="inlineStr">
        <is>
          <t>Phan Van Viet</t>
        </is>
      </c>
      <c r="H106" s="2" t="inlineStr">
        <is>
          <t>Sprint 2</t>
        </is>
      </c>
      <c r="I106" s="3" t="n">
        <v>46312</v>
      </c>
      <c r="J106" s="3" t="n">
        <v>46325</v>
      </c>
      <c r="K106" s="2" t="inlineStr">
        <is>
          <t>High</t>
        </is>
      </c>
      <c r="L106" s="2" t="inlineStr">
        <is>
          <t>subtask,PH-02,orig-051</t>
        </is>
      </c>
      <c r="M106" s="2" t="inlineStr">
        <is>
          <t>ORIG-051</t>
        </is>
      </c>
      <c r="N106" s="2" t="inlineStr">
        <is>
          <t>CIN-T-008</t>
        </is>
      </c>
      <c r="O106" s="2" t="inlineStr">
        <is>
          <t>PH-02</t>
        </is>
      </c>
      <c r="P106" s="2" t="inlineStr">
        <is>
          <t>CIN-T-009</t>
        </is>
      </c>
    </row>
    <row r="107">
      <c r="A107" s="2" t="inlineStr">
        <is>
          <t>Sub-task</t>
        </is>
      </c>
      <c r="B107" s="2" t="inlineStr">
        <is>
          <t>CIN-SUB-052</t>
        </is>
      </c>
      <c r="C107" s="2" t="inlineStr">
        <is>
          <t>CIN-T-009</t>
        </is>
      </c>
      <c r="D107" s="2" t="inlineStr">
        <is>
          <t>Trang Movie List</t>
        </is>
      </c>
      <c r="E107" s="2" t="inlineStr">
        <is>
          <t>Original Row ID: ORIG-052. Original task: Trang Movie List. Original description: Danh sách phim.</t>
        </is>
      </c>
      <c r="F107" s="2" t="inlineStr">
        <is>
          <t>24120235</t>
        </is>
      </c>
      <c r="G107" s="2" t="inlineStr">
        <is>
          <t>Huynh Thanh Tu</t>
        </is>
      </c>
      <c r="H107" s="2" t="inlineStr">
        <is>
          <t>Sprint 2</t>
        </is>
      </c>
      <c r="I107" s="3" t="n">
        <v>46312</v>
      </c>
      <c r="J107" s="3" t="n">
        <v>46325</v>
      </c>
      <c r="K107" s="2" t="inlineStr">
        <is>
          <t>High</t>
        </is>
      </c>
      <c r="L107" s="2" t="inlineStr">
        <is>
          <t>subtask,PH-02,orig-052</t>
        </is>
      </c>
      <c r="M107" s="2" t="inlineStr">
        <is>
          <t>ORIG-052</t>
        </is>
      </c>
      <c r="N107" s="2" t="inlineStr">
        <is>
          <t>CIN-T-008</t>
        </is>
      </c>
      <c r="O107" s="2" t="inlineStr">
        <is>
          <t>PH-02</t>
        </is>
      </c>
      <c r="P107" s="2" t="inlineStr">
        <is>
          <t>CIN-T-009</t>
        </is>
      </c>
    </row>
    <row r="108">
      <c r="A108" s="2" t="inlineStr">
        <is>
          <t>Sub-task</t>
        </is>
      </c>
      <c r="B108" s="2" t="inlineStr">
        <is>
          <t>CIN-SUB-053</t>
        </is>
      </c>
      <c r="C108" s="2" t="inlineStr">
        <is>
          <t>CIN-T-009</t>
        </is>
      </c>
      <c r="D108" s="2" t="inlineStr">
        <is>
          <t>Trang Movie Detail</t>
        </is>
      </c>
      <c r="E108" s="2" t="inlineStr">
        <is>
          <t>Original Row ID: ORIG-053. Original task: Trang Movie Detail. Original description: Thông tin chi tiết phim.</t>
        </is>
      </c>
      <c r="F108" s="2" t="inlineStr">
        <is>
          <t>24120255</t>
        </is>
      </c>
      <c r="G108" s="2" t="inlineStr">
        <is>
          <t>Tran Thien An</t>
        </is>
      </c>
      <c r="H108" s="2" t="inlineStr">
        <is>
          <t>Sprint 2</t>
        </is>
      </c>
      <c r="I108" s="3" t="n">
        <v>46312</v>
      </c>
      <c r="J108" s="3" t="n">
        <v>46325</v>
      </c>
      <c r="K108" s="2" t="inlineStr">
        <is>
          <t>High</t>
        </is>
      </c>
      <c r="L108" s="2" t="inlineStr">
        <is>
          <t>subtask,PH-02,orig-053</t>
        </is>
      </c>
      <c r="M108" s="2" t="inlineStr">
        <is>
          <t>ORIG-053</t>
        </is>
      </c>
      <c r="N108" s="2" t="inlineStr">
        <is>
          <t>CIN-T-008</t>
        </is>
      </c>
      <c r="O108" s="2" t="inlineStr">
        <is>
          <t>PH-02</t>
        </is>
      </c>
      <c r="P108" s="2" t="inlineStr">
        <is>
          <t>CIN-T-009</t>
        </is>
      </c>
    </row>
    <row r="109">
      <c r="A109" s="2" t="inlineStr">
        <is>
          <t>Sub-task</t>
        </is>
      </c>
      <c r="B109" s="2" t="inlineStr">
        <is>
          <t>CIN-SUB-054</t>
        </is>
      </c>
      <c r="C109" s="2" t="inlineStr">
        <is>
          <t>CIN-T-009</t>
        </is>
      </c>
      <c r="D109" s="2" t="inlineStr">
        <is>
          <t>Trang Showtime</t>
        </is>
      </c>
      <c r="E109" s="2" t="inlineStr">
        <is>
          <t>Original Row ID: ORIG-054. Original task: Trang Showtime. Original description: Lịch chiếu theo phim / ngày / rạp.</t>
        </is>
      </c>
      <c r="F109" s="2" t="inlineStr">
        <is>
          <t>24120271</t>
        </is>
      </c>
      <c r="G109" s="2" t="inlineStr">
        <is>
          <t>Nguyen Trung Chinh</t>
        </is>
      </c>
      <c r="H109" s="2" t="inlineStr">
        <is>
          <t>Sprint 2</t>
        </is>
      </c>
      <c r="I109" s="3" t="n">
        <v>46312</v>
      </c>
      <c r="J109" s="3" t="n">
        <v>46325</v>
      </c>
      <c r="K109" s="2" t="inlineStr">
        <is>
          <t>High</t>
        </is>
      </c>
      <c r="L109" s="2" t="inlineStr">
        <is>
          <t>subtask,PH-02,orig-054</t>
        </is>
      </c>
      <c r="M109" s="2" t="inlineStr">
        <is>
          <t>ORIG-054</t>
        </is>
      </c>
      <c r="N109" s="2" t="inlineStr">
        <is>
          <t>CIN-T-008</t>
        </is>
      </c>
      <c r="O109" s="2" t="inlineStr">
        <is>
          <t>PH-02</t>
        </is>
      </c>
      <c r="P109" s="2" t="inlineStr">
        <is>
          <t>CIN-T-009</t>
        </is>
      </c>
    </row>
    <row r="110">
      <c r="A110" s="2" t="inlineStr">
        <is>
          <t>Sub-task</t>
        </is>
      </c>
      <c r="B110" s="2" t="inlineStr">
        <is>
          <t>CIN-SUB-055</t>
        </is>
      </c>
      <c r="C110" s="2" t="inlineStr">
        <is>
          <t>CIN-T-009</t>
        </is>
      </c>
      <c r="D110" s="2" t="inlineStr">
        <is>
          <t>Trang Seat Selection</t>
        </is>
      </c>
      <c r="E110" s="2" t="inlineStr">
        <is>
          <t>Original Row ID: ORIG-055. Original task: Trang Seat Selection. Original description: Sơ đồ và trạng thái ghế.</t>
        </is>
      </c>
      <c r="F110" s="2" t="inlineStr">
        <is>
          <t>24120098</t>
        </is>
      </c>
      <c r="G110" s="2" t="inlineStr">
        <is>
          <t>Nguyen Quoc Nam</t>
        </is>
      </c>
      <c r="H110" s="2" t="inlineStr">
        <is>
          <t>Sprint 2</t>
        </is>
      </c>
      <c r="I110" s="3" t="n">
        <v>46312</v>
      </c>
      <c r="J110" s="3" t="n">
        <v>46325</v>
      </c>
      <c r="K110" s="2" t="inlineStr">
        <is>
          <t>High</t>
        </is>
      </c>
      <c r="L110" s="2" t="inlineStr">
        <is>
          <t>subtask,PH-02,orig-055</t>
        </is>
      </c>
      <c r="M110" s="2" t="inlineStr">
        <is>
          <t>ORIG-055</t>
        </is>
      </c>
      <c r="N110" s="2" t="inlineStr">
        <is>
          <t>CIN-T-008</t>
        </is>
      </c>
      <c r="O110" s="2" t="inlineStr">
        <is>
          <t>PH-02</t>
        </is>
      </c>
      <c r="P110" s="2" t="inlineStr">
        <is>
          <t>CIN-T-009</t>
        </is>
      </c>
    </row>
    <row r="111">
      <c r="A111" s="2" t="inlineStr">
        <is>
          <t>Sub-task</t>
        </is>
      </c>
      <c r="B111" s="2" t="inlineStr">
        <is>
          <t>CIN-SUB-056</t>
        </is>
      </c>
      <c r="C111" s="2" t="inlineStr">
        <is>
          <t>CIN-T-009</t>
        </is>
      </c>
      <c r="D111" s="2" t="inlineStr">
        <is>
          <t>Trang Ticket Type</t>
        </is>
      </c>
      <c r="E111" s="2" t="inlineStr">
        <is>
          <t>Original Row ID: ORIG-056. Original task: Trang Ticket Type. Original description: Chọn loại vé.</t>
        </is>
      </c>
      <c r="F111" s="2" t="inlineStr">
        <is>
          <t>24120244</t>
        </is>
      </c>
      <c r="G111" s="2" t="inlineStr">
        <is>
          <t>Phan Van Viet</t>
        </is>
      </c>
      <c r="H111" s="2" t="inlineStr">
        <is>
          <t>Sprint 2</t>
        </is>
      </c>
      <c r="I111" s="3" t="n">
        <v>46312</v>
      </c>
      <c r="J111" s="3" t="n">
        <v>46325</v>
      </c>
      <c r="K111" s="2" t="inlineStr">
        <is>
          <t>High</t>
        </is>
      </c>
      <c r="L111" s="2" t="inlineStr">
        <is>
          <t>subtask,PH-02,orig-056</t>
        </is>
      </c>
      <c r="M111" s="2" t="inlineStr">
        <is>
          <t>ORIG-056</t>
        </is>
      </c>
      <c r="N111" s="2" t="inlineStr">
        <is>
          <t>CIN-T-008</t>
        </is>
      </c>
      <c r="O111" s="2" t="inlineStr">
        <is>
          <t>PH-02</t>
        </is>
      </c>
      <c r="P111" s="2" t="inlineStr">
        <is>
          <t>CIN-T-009</t>
        </is>
      </c>
    </row>
    <row r="112">
      <c r="A112" s="2" t="inlineStr">
        <is>
          <t>Sub-task</t>
        </is>
      </c>
      <c r="B112" s="2" t="inlineStr">
        <is>
          <t>CIN-SUB-057</t>
        </is>
      </c>
      <c r="C112" s="2" t="inlineStr">
        <is>
          <t>CIN-T-009</t>
        </is>
      </c>
      <c r="D112" s="2" t="inlineStr">
        <is>
          <t>Trang Booking Confirmation</t>
        </is>
      </c>
      <c r="E112" s="2" t="inlineStr">
        <is>
          <t>Original Row ID: ORIG-057. Original task: Trang Booking Confirmation. Original description: Xác nhận phim, suất, ghế, loại vé, tổng tiền.</t>
        </is>
      </c>
      <c r="F112" s="2" t="inlineStr">
        <is>
          <t>24120235</t>
        </is>
      </c>
      <c r="G112" s="2" t="inlineStr">
        <is>
          <t>Huynh Thanh Tu</t>
        </is>
      </c>
      <c r="H112" s="2" t="inlineStr">
        <is>
          <t>Sprint 2</t>
        </is>
      </c>
      <c r="I112" s="3" t="n">
        <v>46312</v>
      </c>
      <c r="J112" s="3" t="n">
        <v>46325</v>
      </c>
      <c r="K112" s="2" t="inlineStr">
        <is>
          <t>High</t>
        </is>
      </c>
      <c r="L112" s="2" t="inlineStr">
        <is>
          <t>subtask,PH-02,orig-057</t>
        </is>
      </c>
      <c r="M112" s="2" t="inlineStr">
        <is>
          <t>ORIG-057</t>
        </is>
      </c>
      <c r="N112" s="2" t="inlineStr">
        <is>
          <t>CIN-T-008</t>
        </is>
      </c>
      <c r="O112" s="2" t="inlineStr">
        <is>
          <t>PH-02</t>
        </is>
      </c>
      <c r="P112" s="2" t="inlineStr">
        <is>
          <t>CIN-T-009</t>
        </is>
      </c>
    </row>
    <row r="113">
      <c r="A113" s="2" t="inlineStr">
        <is>
          <t>Sub-task</t>
        </is>
      </c>
      <c r="B113" s="2" t="inlineStr">
        <is>
          <t>CIN-SUB-058</t>
        </is>
      </c>
      <c r="C113" s="2" t="inlineStr">
        <is>
          <t>CIN-T-009</t>
        </is>
      </c>
      <c r="D113" s="2" t="inlineStr">
        <is>
          <t>Trang Payment</t>
        </is>
      </c>
      <c r="E113" s="2" t="inlineStr">
        <is>
          <t>Original Row ID: ORIG-058. Original task: Trang Payment. Original description: Thanh toán.</t>
        </is>
      </c>
      <c r="F113" s="2" t="inlineStr">
        <is>
          <t>24120255</t>
        </is>
      </c>
      <c r="G113" s="2" t="inlineStr">
        <is>
          <t>Tran Thien An</t>
        </is>
      </c>
      <c r="H113" s="2" t="inlineStr">
        <is>
          <t>Sprint 2</t>
        </is>
      </c>
      <c r="I113" s="3" t="n">
        <v>46312</v>
      </c>
      <c r="J113" s="3" t="n">
        <v>46325</v>
      </c>
      <c r="K113" s="2" t="inlineStr">
        <is>
          <t>High</t>
        </is>
      </c>
      <c r="L113" s="2" t="inlineStr">
        <is>
          <t>subtask,PH-02,orig-058</t>
        </is>
      </c>
      <c r="M113" s="2" t="inlineStr">
        <is>
          <t>ORIG-058</t>
        </is>
      </c>
      <c r="N113" s="2" t="inlineStr">
        <is>
          <t>CIN-T-008</t>
        </is>
      </c>
      <c r="O113" s="2" t="inlineStr">
        <is>
          <t>PH-02</t>
        </is>
      </c>
      <c r="P113" s="2" t="inlineStr">
        <is>
          <t>CIN-T-009</t>
        </is>
      </c>
    </row>
    <row r="114">
      <c r="A114" s="2" t="inlineStr">
        <is>
          <t>Sub-task</t>
        </is>
      </c>
      <c r="B114" s="2" t="inlineStr">
        <is>
          <t>CIN-SUB-059</t>
        </is>
      </c>
      <c r="C114" s="2" t="inlineStr">
        <is>
          <t>CIN-T-009</t>
        </is>
      </c>
      <c r="D114" s="2" t="inlineStr">
        <is>
          <t>Trang Payment Result</t>
        </is>
      </c>
      <c r="E114" s="2" t="inlineStr">
        <is>
          <t>Original Row ID: ORIG-059. Original task: Trang Payment Result. Original description: Thành công / thất bại.</t>
        </is>
      </c>
      <c r="F114" s="2" t="inlineStr">
        <is>
          <t>24120271</t>
        </is>
      </c>
      <c r="G114" s="2" t="inlineStr">
        <is>
          <t>Nguyen Trung Chinh</t>
        </is>
      </c>
      <c r="H114" s="2" t="inlineStr">
        <is>
          <t>Sprint 2</t>
        </is>
      </c>
      <c r="I114" s="3" t="n">
        <v>46312</v>
      </c>
      <c r="J114" s="3" t="n">
        <v>46325</v>
      </c>
      <c r="K114" s="2" t="inlineStr">
        <is>
          <t>High</t>
        </is>
      </c>
      <c r="L114" s="2" t="inlineStr">
        <is>
          <t>subtask,PH-02,orig-059</t>
        </is>
      </c>
      <c r="M114" s="2" t="inlineStr">
        <is>
          <t>ORIG-059</t>
        </is>
      </c>
      <c r="N114" s="2" t="inlineStr">
        <is>
          <t>CIN-T-008</t>
        </is>
      </c>
      <c r="O114" s="2" t="inlineStr">
        <is>
          <t>PH-02</t>
        </is>
      </c>
      <c r="P114" s="2" t="inlineStr">
        <is>
          <t>CIN-T-009</t>
        </is>
      </c>
    </row>
    <row r="115">
      <c r="A115" s="2" t="inlineStr">
        <is>
          <t>Sub-task</t>
        </is>
      </c>
      <c r="B115" s="2" t="inlineStr">
        <is>
          <t>CIN-SUB-060</t>
        </is>
      </c>
      <c r="C115" s="2" t="inlineStr">
        <is>
          <t>CIN-T-009</t>
        </is>
      </c>
      <c r="D115" s="2" t="inlineStr">
        <is>
          <t>Trang My Tickets</t>
        </is>
      </c>
      <c r="E115" s="2" t="inlineStr">
        <is>
          <t>Original Row ID: ORIG-060. Original task: Trang My Tickets. Original description: Vé đã mua.</t>
        </is>
      </c>
      <c r="F115" s="2" t="inlineStr">
        <is>
          <t>24120098</t>
        </is>
      </c>
      <c r="G115" s="2" t="inlineStr">
        <is>
          <t>Nguyen Quoc Nam</t>
        </is>
      </c>
      <c r="H115" s="2" t="inlineStr">
        <is>
          <t>Sprint 2</t>
        </is>
      </c>
      <c r="I115" s="3" t="n">
        <v>46312</v>
      </c>
      <c r="J115" s="3" t="n">
        <v>46325</v>
      </c>
      <c r="K115" s="2" t="inlineStr">
        <is>
          <t>High</t>
        </is>
      </c>
      <c r="L115" s="2" t="inlineStr">
        <is>
          <t>subtask,PH-02,orig-060</t>
        </is>
      </c>
      <c r="M115" s="2" t="inlineStr">
        <is>
          <t>ORIG-060</t>
        </is>
      </c>
      <c r="N115" s="2" t="inlineStr">
        <is>
          <t>CIN-T-008</t>
        </is>
      </c>
      <c r="O115" s="2" t="inlineStr">
        <is>
          <t>PH-02</t>
        </is>
      </c>
      <c r="P115" s="2" t="inlineStr">
        <is>
          <t>CIN-T-009</t>
        </is>
      </c>
    </row>
    <row r="116">
      <c r="A116" s="2" t="inlineStr">
        <is>
          <t>Sub-task</t>
        </is>
      </c>
      <c r="B116" s="2" t="inlineStr">
        <is>
          <t>CIN-SUB-061</t>
        </is>
      </c>
      <c r="C116" s="2" t="inlineStr">
        <is>
          <t>CIN-T-009</t>
        </is>
      </c>
      <c r="D116" s="2" t="inlineStr">
        <is>
          <t>Trang Booking History</t>
        </is>
      </c>
      <c r="E116" s="2" t="inlineStr">
        <is>
          <t>Original Row ID: ORIG-061. Original task: Trang Booking History. Original description: Lịch sử đặt vé.</t>
        </is>
      </c>
      <c r="F116" s="2" t="inlineStr">
        <is>
          <t>24120244</t>
        </is>
      </c>
      <c r="G116" s="2" t="inlineStr">
        <is>
          <t>Phan Van Viet</t>
        </is>
      </c>
      <c r="H116" s="2" t="inlineStr">
        <is>
          <t>Sprint 2</t>
        </is>
      </c>
      <c r="I116" s="3" t="n">
        <v>46312</v>
      </c>
      <c r="J116" s="3" t="n">
        <v>46325</v>
      </c>
      <c r="K116" s="2" t="inlineStr">
        <is>
          <t>High</t>
        </is>
      </c>
      <c r="L116" s="2" t="inlineStr">
        <is>
          <t>subtask,PH-02,orig-061</t>
        </is>
      </c>
      <c r="M116" s="2" t="inlineStr">
        <is>
          <t>ORIG-061</t>
        </is>
      </c>
      <c r="N116" s="2" t="inlineStr">
        <is>
          <t>CIN-T-008</t>
        </is>
      </c>
      <c r="O116" s="2" t="inlineStr">
        <is>
          <t>PH-02</t>
        </is>
      </c>
      <c r="P116" s="2" t="inlineStr">
        <is>
          <t>CIN-T-009</t>
        </is>
      </c>
    </row>
    <row r="117">
      <c r="A117" s="2" t="inlineStr">
        <is>
          <t>Sub-task</t>
        </is>
      </c>
      <c r="B117" s="2" t="inlineStr">
        <is>
          <t>CIN-SUB-062</t>
        </is>
      </c>
      <c r="C117" s="2" t="inlineStr">
        <is>
          <t>CIN-T-009</t>
        </is>
      </c>
      <c r="D117" s="2" t="inlineStr">
        <is>
          <t>Trang Profile</t>
        </is>
      </c>
      <c r="E117" s="2" t="inlineStr">
        <is>
          <t>Original Row ID: ORIG-062. Original task: Trang Profile. Original description: Thông tin tài khoản.</t>
        </is>
      </c>
      <c r="F117" s="2" t="inlineStr">
        <is>
          <t>24120235</t>
        </is>
      </c>
      <c r="G117" s="2" t="inlineStr">
        <is>
          <t>Huynh Thanh Tu</t>
        </is>
      </c>
      <c r="H117" s="2" t="inlineStr">
        <is>
          <t>Sprint 2</t>
        </is>
      </c>
      <c r="I117" s="3" t="n">
        <v>46312</v>
      </c>
      <c r="J117" s="3" t="n">
        <v>46325</v>
      </c>
      <c r="K117" s="2" t="inlineStr">
        <is>
          <t>High</t>
        </is>
      </c>
      <c r="L117" s="2" t="inlineStr">
        <is>
          <t>subtask,PH-02,orig-062</t>
        </is>
      </c>
      <c r="M117" s="2" t="inlineStr">
        <is>
          <t>ORIG-062</t>
        </is>
      </c>
      <c r="N117" s="2" t="inlineStr">
        <is>
          <t>CIN-T-008</t>
        </is>
      </c>
      <c r="O117" s="2" t="inlineStr">
        <is>
          <t>PH-02</t>
        </is>
      </c>
      <c r="P117" s="2" t="inlineStr">
        <is>
          <t>CIN-T-009</t>
        </is>
      </c>
    </row>
    <row r="118">
      <c r="A118" s="2" t="inlineStr">
        <is>
          <t>Sub-task</t>
        </is>
      </c>
      <c r="B118" s="2" t="inlineStr">
        <is>
          <t>CIN-SUB-063</t>
        </is>
      </c>
      <c r="C118" s="2" t="inlineStr">
        <is>
          <t>CIN-T-010</t>
        </is>
      </c>
      <c r="D118" s="2" t="inlineStr">
        <is>
          <t>Xác định Component dùng chung</t>
        </is>
      </c>
      <c r="E118" s="2" t="inlineStr">
        <is>
          <t>Original Row ID: ORIG-063. Original task: Xác định Component dùng chung. Original description: Movie Card, Button, Modal, Form, Table, Seat, Pagination, Toast,....</t>
        </is>
      </c>
      <c r="F118" s="2" t="inlineStr">
        <is>
          <t>24120255</t>
        </is>
      </c>
      <c r="G118" s="2" t="inlineStr">
        <is>
          <t>Tran Thien An</t>
        </is>
      </c>
      <c r="H118" s="2" t="inlineStr">
        <is>
          <t>Sprint 2</t>
        </is>
      </c>
      <c r="I118" s="3" t="n">
        <v>46312</v>
      </c>
      <c r="J118" s="3" t="n">
        <v>46325</v>
      </c>
      <c r="K118" s="2" t="inlineStr">
        <is>
          <t>Medium</t>
        </is>
      </c>
      <c r="L118" s="2" t="inlineStr">
        <is>
          <t>subtask,PH-02,orig-063</t>
        </is>
      </c>
      <c r="M118" s="2" t="inlineStr">
        <is>
          <t>ORIG-063</t>
        </is>
      </c>
      <c r="N118" s="2" t="inlineStr">
        <is>
          <t>CIN-T-009</t>
        </is>
      </c>
      <c r="O118" s="2" t="inlineStr">
        <is>
          <t>PH-02</t>
        </is>
      </c>
      <c r="P118" s="2" t="inlineStr">
        <is>
          <t>CIN-T-010</t>
        </is>
      </c>
    </row>
    <row r="119">
      <c r="A119" s="2" t="inlineStr">
        <is>
          <t>Sub-task</t>
        </is>
      </c>
      <c r="B119" s="2" t="inlineStr">
        <is>
          <t>CIN-SUB-064</t>
        </is>
      </c>
      <c r="C119" s="2" t="inlineStr">
        <is>
          <t>CIN-T-010</t>
        </is>
      </c>
      <c r="D119" s="2" t="inlineStr">
        <is>
          <t>Xác định UI State</t>
        </is>
      </c>
      <c r="E119" s="2" t="inlineStr">
        <is>
          <t>Original Row ID: ORIG-064. Original task: Xác định UI State. Original description: Loading, Empty, Error, Success, Disabled,....</t>
        </is>
      </c>
      <c r="F119" s="2" t="inlineStr">
        <is>
          <t>24120271</t>
        </is>
      </c>
      <c r="G119" s="2" t="inlineStr">
        <is>
          <t>Nguyen Trung Chinh</t>
        </is>
      </c>
      <c r="H119" s="2" t="inlineStr">
        <is>
          <t>Sprint 2</t>
        </is>
      </c>
      <c r="I119" s="3" t="n">
        <v>46312</v>
      </c>
      <c r="J119" s="3" t="n">
        <v>46325</v>
      </c>
      <c r="K119" s="2" t="inlineStr">
        <is>
          <t>Medium</t>
        </is>
      </c>
      <c r="L119" s="2" t="inlineStr">
        <is>
          <t>subtask,PH-02,orig-064</t>
        </is>
      </c>
      <c r="M119" s="2" t="inlineStr">
        <is>
          <t>ORIG-064</t>
        </is>
      </c>
      <c r="N119" s="2" t="inlineStr">
        <is>
          <t>CIN-T-009</t>
        </is>
      </c>
      <c r="O119" s="2" t="inlineStr">
        <is>
          <t>PH-02</t>
        </is>
      </c>
      <c r="P119" s="2" t="inlineStr">
        <is>
          <t>CIN-T-010</t>
        </is>
      </c>
    </row>
    <row r="120">
      <c r="A120" s="2" t="inlineStr">
        <is>
          <t>Sub-task</t>
        </is>
      </c>
      <c r="B120" s="2" t="inlineStr">
        <is>
          <t>CIN-SUB-065</t>
        </is>
      </c>
      <c r="C120" s="2" t="inlineStr">
        <is>
          <t>CIN-T-010</t>
        </is>
      </c>
      <c r="D120" s="2" t="inlineStr">
        <is>
          <t>Xác định dữ liệu cần hiển thị</t>
        </is>
      </c>
      <c r="E120" s="2" t="inlineStr">
        <is>
          <t>Original Row ID: ORIG-065. Original task: Xác định dữ liệu cần hiển thị. Original description: Xác định mỗi màn hình cần những dữ liệu nào từ Backend.</t>
        </is>
      </c>
      <c r="F120" s="2" t="inlineStr">
        <is>
          <t>24120098</t>
        </is>
      </c>
      <c r="G120" s="2" t="inlineStr">
        <is>
          <t>Nguyen Quoc Nam</t>
        </is>
      </c>
      <c r="H120" s="2" t="inlineStr">
        <is>
          <t>Sprint 2</t>
        </is>
      </c>
      <c r="I120" s="3" t="n">
        <v>46312</v>
      </c>
      <c r="J120" s="3" t="n">
        <v>46325</v>
      </c>
      <c r="K120" s="2" t="inlineStr">
        <is>
          <t>Medium</t>
        </is>
      </c>
      <c r="L120" s="2" t="inlineStr">
        <is>
          <t>subtask,PH-02,orig-065</t>
        </is>
      </c>
      <c r="M120" s="2" t="inlineStr">
        <is>
          <t>ORIG-065</t>
        </is>
      </c>
      <c r="N120" s="2" t="inlineStr">
        <is>
          <t>CIN-T-009</t>
        </is>
      </c>
      <c r="O120" s="2" t="inlineStr">
        <is>
          <t>PH-02</t>
        </is>
      </c>
      <c r="P120" s="2" t="inlineStr">
        <is>
          <t>CIN-T-010</t>
        </is>
      </c>
    </row>
    <row r="121">
      <c r="A121" s="2" t="inlineStr">
        <is>
          <t>Sub-task</t>
        </is>
      </c>
      <c r="B121" s="2" t="inlineStr">
        <is>
          <t>CIN-SUB-066</t>
        </is>
      </c>
      <c r="C121" s="2" t="inlineStr">
        <is>
          <t>CIN-T-010</t>
        </is>
      </c>
      <c r="D121" s="2" t="inlineStr">
        <is>
          <t>Xác định thao tác người dùng</t>
        </is>
      </c>
      <c r="E121" s="2" t="inlineStr">
        <is>
          <t>Original Row ID: ORIG-066. Original task: Xác định thao tác người dùng. Original description: Click, chọn, nhập, submit, cancel, payment,....</t>
        </is>
      </c>
      <c r="F121" s="2" t="inlineStr">
        <is>
          <t>24120235</t>
        </is>
      </c>
      <c r="G121" s="2" t="inlineStr">
        <is>
          <t>Huynh Thanh Tu</t>
        </is>
      </c>
      <c r="H121" s="2" t="inlineStr">
        <is>
          <t>Sprint 2</t>
        </is>
      </c>
      <c r="I121" s="3" t="n">
        <v>46312</v>
      </c>
      <c r="J121" s="3" t="n">
        <v>46325</v>
      </c>
      <c r="K121" s="2" t="inlineStr">
        <is>
          <t>Medium</t>
        </is>
      </c>
      <c r="L121" s="2" t="inlineStr">
        <is>
          <t>subtask,PH-02,orig-066</t>
        </is>
      </c>
      <c r="M121" s="2" t="inlineStr">
        <is>
          <t>ORIG-066</t>
        </is>
      </c>
      <c r="N121" s="2" t="inlineStr">
        <is>
          <t>CIN-T-009</t>
        </is>
      </c>
      <c r="O121" s="2" t="inlineStr">
        <is>
          <t>PH-02</t>
        </is>
      </c>
      <c r="P121" s="2" t="inlineStr">
        <is>
          <t>CIN-T-010</t>
        </is>
      </c>
    </row>
    <row r="122">
      <c r="A122" s="2" t="inlineStr">
        <is>
          <t>Sub-task</t>
        </is>
      </c>
      <c r="B122" s="2" t="inlineStr">
        <is>
          <t>CIN-SUB-067</t>
        </is>
      </c>
      <c r="C122" s="2" t="inlineStr">
        <is>
          <t>CIN-T-010</t>
        </is>
      </c>
      <c r="D122" s="2" t="inlineStr">
        <is>
          <t>Xác định Responsive</t>
        </is>
      </c>
      <c r="E122" s="2" t="inlineStr">
        <is>
          <t>Original Row ID: ORIG-067. Original task: Xác định Responsive. Original description: Desktop / Tablet / Mobile.</t>
        </is>
      </c>
      <c r="F122" s="2" t="inlineStr">
        <is>
          <t>24120255</t>
        </is>
      </c>
      <c r="G122" s="2" t="inlineStr">
        <is>
          <t>Tran Thien An</t>
        </is>
      </c>
      <c r="H122" s="2" t="inlineStr">
        <is>
          <t>Sprint 2</t>
        </is>
      </c>
      <c r="I122" s="3" t="n">
        <v>46312</v>
      </c>
      <c r="J122" s="3" t="n">
        <v>46325</v>
      </c>
      <c r="K122" s="2" t="inlineStr">
        <is>
          <t>Medium</t>
        </is>
      </c>
      <c r="L122" s="2" t="inlineStr">
        <is>
          <t>subtask,PH-02,orig-067</t>
        </is>
      </c>
      <c r="M122" s="2" t="inlineStr">
        <is>
          <t>ORIG-067</t>
        </is>
      </c>
      <c r="N122" s="2" t="inlineStr">
        <is>
          <t>CIN-T-009</t>
        </is>
      </c>
      <c r="O122" s="2" t="inlineStr">
        <is>
          <t>PH-02</t>
        </is>
      </c>
      <c r="P122" s="2" t="inlineStr">
        <is>
          <t>CIN-T-010</t>
        </is>
      </c>
    </row>
    <row r="123">
      <c r="A123" s="2" t="inlineStr">
        <is>
          <t>Sub-task</t>
        </is>
      </c>
      <c r="B123" s="2" t="inlineStr">
        <is>
          <t>CIN-SUB-068</t>
        </is>
      </c>
      <c r="C123" s="2" t="inlineStr">
        <is>
          <t>CIN-T-011</t>
        </is>
      </c>
      <c r="D123" s="2" t="inlineStr">
        <is>
          <t>Xác định API Contract</t>
        </is>
      </c>
      <c r="E123" s="2" t="inlineStr">
        <is>
          <t>Original Row ID: ORIG-068. Original task: Xác định API Contract. Original description: Thống nhất Endpoint, Method, Request, Response, Status Code giữa FE và BE.</t>
        </is>
      </c>
      <c r="F123" s="2" t="inlineStr">
        <is>
          <t>24120244</t>
        </is>
      </c>
      <c r="G123" s="2" t="inlineStr">
        <is>
          <t>Phan Van Viet</t>
        </is>
      </c>
      <c r="H123" s="2" t="inlineStr">
        <is>
          <t>Sprint 2</t>
        </is>
      </c>
      <c r="I123" s="3" t="n">
        <v>46312</v>
      </c>
      <c r="J123" s="3" t="n">
        <v>46325</v>
      </c>
      <c r="K123" s="2" t="inlineStr">
        <is>
          <t>High</t>
        </is>
      </c>
      <c r="L123" s="2" t="inlineStr">
        <is>
          <t>subtask,PH-02,orig-068</t>
        </is>
      </c>
      <c r="M123" s="2" t="inlineStr">
        <is>
          <t>ORIG-068</t>
        </is>
      </c>
      <c r="N123" s="2" t="inlineStr">
        <is>
          <t>CIN-T-007, CIN-T-003</t>
        </is>
      </c>
      <c r="O123" s="2" t="inlineStr">
        <is>
          <t>PH-02</t>
        </is>
      </c>
      <c r="P123" s="2" t="inlineStr">
        <is>
          <t>CIN-T-011</t>
        </is>
      </c>
    </row>
    <row r="124">
      <c r="A124" s="2" t="inlineStr">
        <is>
          <t>Sub-task</t>
        </is>
      </c>
      <c r="B124" s="2" t="inlineStr">
        <is>
          <t>CIN-SUB-069</t>
        </is>
      </c>
      <c r="C124" s="2" t="inlineStr">
        <is>
          <t>CIN-T-011</t>
        </is>
      </c>
      <c r="D124" s="2" t="inlineStr">
        <is>
          <t>Thiết kế API Endpoint</t>
        </is>
      </c>
      <c r="E124" s="2" t="inlineStr">
        <is>
          <t>Original Row ID: ORIG-069. Original task: Thiết kế API Endpoint. Original description: Xác định các API cần có cho từng nghiệp vụ.</t>
        </is>
      </c>
      <c r="F124" s="2" t="inlineStr">
        <is>
          <t>24120271</t>
        </is>
      </c>
      <c r="G124" s="2" t="inlineStr">
        <is>
          <t>Nguyen Trung Chinh</t>
        </is>
      </c>
      <c r="H124" s="2" t="inlineStr">
        <is>
          <t>Sprint 2</t>
        </is>
      </c>
      <c r="I124" s="3" t="n">
        <v>46312</v>
      </c>
      <c r="J124" s="3" t="n">
        <v>46325</v>
      </c>
      <c r="K124" s="2" t="inlineStr">
        <is>
          <t>High</t>
        </is>
      </c>
      <c r="L124" s="2" t="inlineStr">
        <is>
          <t>subtask,PH-02,orig-069</t>
        </is>
      </c>
      <c r="M124" s="2" t="inlineStr">
        <is>
          <t>ORIG-069</t>
        </is>
      </c>
      <c r="N124" s="2" t="inlineStr">
        <is>
          <t>CIN-T-007, CIN-T-003</t>
        </is>
      </c>
      <c r="O124" s="2" t="inlineStr">
        <is>
          <t>PH-02</t>
        </is>
      </c>
      <c r="P124" s="2" t="inlineStr">
        <is>
          <t>CIN-T-011</t>
        </is>
      </c>
    </row>
    <row r="125">
      <c r="A125" s="2" t="inlineStr">
        <is>
          <t>Sub-task</t>
        </is>
      </c>
      <c r="B125" s="2" t="inlineStr">
        <is>
          <t>CIN-SUB-070</t>
        </is>
      </c>
      <c r="C125" s="2" t="inlineStr">
        <is>
          <t>CIN-T-011</t>
        </is>
      </c>
      <c r="D125" s="2" t="inlineStr">
        <is>
          <t>Thiết kế Request / Response</t>
        </is>
      </c>
      <c r="E125" s="2" t="inlineStr">
        <is>
          <t>Original Row ID: ORIG-070. Original task: Thiết kế Request / Response. Original description: Xác định cấu trúc JSON gửi/nhận của từng API.</t>
        </is>
      </c>
      <c r="F125" s="2" t="inlineStr">
        <is>
          <t>24120098</t>
        </is>
      </c>
      <c r="G125" s="2" t="inlineStr">
        <is>
          <t>Nguyen Quoc Nam</t>
        </is>
      </c>
      <c r="H125" s="2" t="inlineStr">
        <is>
          <t>Sprint 2</t>
        </is>
      </c>
      <c r="I125" s="3" t="n">
        <v>46312</v>
      </c>
      <c r="J125" s="3" t="n">
        <v>46325</v>
      </c>
      <c r="K125" s="2" t="inlineStr">
        <is>
          <t>High</t>
        </is>
      </c>
      <c r="L125" s="2" t="inlineStr">
        <is>
          <t>subtask,PH-02,orig-070</t>
        </is>
      </c>
      <c r="M125" s="2" t="inlineStr">
        <is>
          <t>ORIG-070</t>
        </is>
      </c>
      <c r="N125" s="2" t="inlineStr">
        <is>
          <t>CIN-T-007, CIN-T-003</t>
        </is>
      </c>
      <c r="O125" s="2" t="inlineStr">
        <is>
          <t>PH-02</t>
        </is>
      </c>
      <c r="P125" s="2" t="inlineStr">
        <is>
          <t>CIN-T-011</t>
        </is>
      </c>
    </row>
    <row r="126">
      <c r="A126" s="2" t="inlineStr">
        <is>
          <t>Sub-task</t>
        </is>
      </c>
      <c r="B126" s="2" t="inlineStr">
        <is>
          <t>CIN-SUB-071</t>
        </is>
      </c>
      <c r="C126" s="2" t="inlineStr">
        <is>
          <t>CIN-T-011</t>
        </is>
      </c>
      <c r="D126" s="2" t="inlineStr">
        <is>
          <t>Xác định API Authentication / Authorization</t>
        </is>
      </c>
      <c r="E126" s="2" t="inlineStr">
        <is>
          <t>Original Row ID: ORIG-071. Original task: Xác định API Authentication / Authorization. Original description: Xác định API nào yêu cầu đăng nhập và Role nào được phép truy cập.</t>
        </is>
      </c>
      <c r="F126" s="2" t="inlineStr">
        <is>
          <t>24120235</t>
        </is>
      </c>
      <c r="G126" s="2" t="inlineStr">
        <is>
          <t>Huynh Thanh Tu</t>
        </is>
      </c>
      <c r="H126" s="2" t="inlineStr">
        <is>
          <t>Sprint 2</t>
        </is>
      </c>
      <c r="I126" s="3" t="n">
        <v>46312</v>
      </c>
      <c r="J126" s="3" t="n">
        <v>46325</v>
      </c>
      <c r="K126" s="2" t="inlineStr">
        <is>
          <t>High</t>
        </is>
      </c>
      <c r="L126" s="2" t="inlineStr">
        <is>
          <t>subtask,PH-02,orig-071</t>
        </is>
      </c>
      <c r="M126" s="2" t="inlineStr">
        <is>
          <t>ORIG-071</t>
        </is>
      </c>
      <c r="N126" s="2" t="inlineStr">
        <is>
          <t>CIN-T-007, CIN-T-003</t>
        </is>
      </c>
      <c r="O126" s="2" t="inlineStr">
        <is>
          <t>PH-02</t>
        </is>
      </c>
      <c r="P126" s="2" t="inlineStr">
        <is>
          <t>CIN-T-011</t>
        </is>
      </c>
    </row>
    <row r="127">
      <c r="A127" s="2" t="inlineStr">
        <is>
          <t>Sub-task</t>
        </is>
      </c>
      <c r="B127" s="2" t="inlineStr">
        <is>
          <t>CIN-SUB-072</t>
        </is>
      </c>
      <c r="C127" s="2" t="inlineStr">
        <is>
          <t>CIN-T-012</t>
        </is>
      </c>
      <c r="D127" s="2" t="inlineStr">
        <is>
          <t>Git Branching</t>
        </is>
      </c>
      <c r="E127" s="2" t="inlineStr">
        <is>
          <t>Original Row ID: ORIG-072. Original task: Git Branching. Original description: Quy định branch.</t>
        </is>
      </c>
      <c r="F127" s="2" t="inlineStr">
        <is>
          <t>24120098</t>
        </is>
      </c>
      <c r="G127" s="2" t="inlineStr">
        <is>
          <t>Nguyen Quoc Nam</t>
        </is>
      </c>
      <c r="H127" s="2" t="inlineStr">
        <is>
          <t>Sprint 1</t>
        </is>
      </c>
      <c r="I127" s="3" t="n">
        <v>46298</v>
      </c>
      <c r="J127" s="3" t="n">
        <v>46311</v>
      </c>
      <c r="K127" s="2" t="inlineStr">
        <is>
          <t>Medium</t>
        </is>
      </c>
      <c r="L127" s="2" t="inlineStr">
        <is>
          <t>subtask,PH-01,orig-072</t>
        </is>
      </c>
      <c r="M127" s="2" t="inlineStr">
        <is>
          <t>ORIG-072</t>
        </is>
      </c>
      <c r="N127" s="2" t="inlineStr"/>
      <c r="O127" s="2" t="inlineStr">
        <is>
          <t>PH-01</t>
        </is>
      </c>
      <c r="P127" s="2" t="inlineStr">
        <is>
          <t>CIN-T-012</t>
        </is>
      </c>
    </row>
    <row r="128">
      <c r="A128" s="2" t="inlineStr">
        <is>
          <t>Sub-task</t>
        </is>
      </c>
      <c r="B128" s="2" t="inlineStr">
        <is>
          <t>CIN-SUB-073</t>
        </is>
      </c>
      <c r="C128" s="2" t="inlineStr">
        <is>
          <t>CIN-T-012</t>
        </is>
      </c>
      <c r="D128" s="2" t="inlineStr">
        <is>
          <t>Commit Convention</t>
        </is>
      </c>
      <c r="E128" s="2" t="inlineStr">
        <is>
          <t>Original Row ID: ORIG-073. Original task: Commit Convention. Original description: Quy định commit message.</t>
        </is>
      </c>
      <c r="F128" s="2" t="inlineStr">
        <is>
          <t>24120244</t>
        </is>
      </c>
      <c r="G128" s="2" t="inlineStr">
        <is>
          <t>Phan Van Viet</t>
        </is>
      </c>
      <c r="H128" s="2" t="inlineStr">
        <is>
          <t>Sprint 1</t>
        </is>
      </c>
      <c r="I128" s="3" t="n">
        <v>46298</v>
      </c>
      <c r="J128" s="3" t="n">
        <v>46311</v>
      </c>
      <c r="K128" s="2" t="inlineStr">
        <is>
          <t>Medium</t>
        </is>
      </c>
      <c r="L128" s="2" t="inlineStr">
        <is>
          <t>subtask,PH-01,orig-073</t>
        </is>
      </c>
      <c r="M128" s="2" t="inlineStr">
        <is>
          <t>ORIG-073</t>
        </is>
      </c>
      <c r="N128" s="2" t="inlineStr"/>
      <c r="O128" s="2" t="inlineStr">
        <is>
          <t>PH-01</t>
        </is>
      </c>
      <c r="P128" s="2" t="inlineStr">
        <is>
          <t>CIN-T-012</t>
        </is>
      </c>
    </row>
    <row r="129">
      <c r="A129" s="2" t="inlineStr">
        <is>
          <t>Sub-task</t>
        </is>
      </c>
      <c r="B129" s="2" t="inlineStr">
        <is>
          <t>CIN-SUB-074</t>
        </is>
      </c>
      <c r="C129" s="2" t="inlineStr">
        <is>
          <t>CIN-T-012</t>
        </is>
      </c>
      <c r="D129" s="2" t="inlineStr">
        <is>
          <t>Pull Request</t>
        </is>
      </c>
      <c r="E129" s="2" t="inlineStr">
        <is>
          <t>Original Row ID: ORIG-074. Original task: Pull Request. Original description: Code review trước khi merge.</t>
        </is>
      </c>
      <c r="F129" s="2" t="inlineStr">
        <is>
          <t>24120098</t>
        </is>
      </c>
      <c r="G129" s="2" t="inlineStr">
        <is>
          <t>Nguyen Quoc Nam</t>
        </is>
      </c>
      <c r="H129" s="2" t="inlineStr">
        <is>
          <t>Sprint 1</t>
        </is>
      </c>
      <c r="I129" s="3" t="n">
        <v>46298</v>
      </c>
      <c r="J129" s="3" t="n">
        <v>46311</v>
      </c>
      <c r="K129" s="2" t="inlineStr">
        <is>
          <t>Medium</t>
        </is>
      </c>
      <c r="L129" s="2" t="inlineStr">
        <is>
          <t>subtask,PH-01,orig-074</t>
        </is>
      </c>
      <c r="M129" s="2" t="inlineStr">
        <is>
          <t>ORIG-074</t>
        </is>
      </c>
      <c r="N129" s="2" t="inlineStr"/>
      <c r="O129" s="2" t="inlineStr">
        <is>
          <t>PH-01</t>
        </is>
      </c>
      <c r="P129" s="2" t="inlineStr">
        <is>
          <t>CIN-T-012</t>
        </is>
      </c>
    </row>
    <row r="130">
      <c r="A130" s="2" t="inlineStr">
        <is>
          <t>Sub-task</t>
        </is>
      </c>
      <c r="B130" s="2" t="inlineStr">
        <is>
          <t>CIN-SUB-075</t>
        </is>
      </c>
      <c r="C130" s="2" t="inlineStr">
        <is>
          <t>CIN-T-012</t>
        </is>
      </c>
      <c r="D130" s="2" t="inlineStr">
        <is>
          <t>Merge Conflict Handling</t>
        </is>
      </c>
      <c r="E130" s="2" t="inlineStr">
        <is>
          <t>Original Row ID: ORIG-075. Original task: Merge Conflict Handling. Original description: Quy trình xử lý conflict.</t>
        </is>
      </c>
      <c r="F130" s="2" t="inlineStr">
        <is>
          <t>24120235</t>
        </is>
      </c>
      <c r="G130" s="2" t="inlineStr">
        <is>
          <t>Huynh Thanh Tu</t>
        </is>
      </c>
      <c r="H130" s="2" t="inlineStr">
        <is>
          <t>Sprint 1</t>
        </is>
      </c>
      <c r="I130" s="3" t="n">
        <v>46298</v>
      </c>
      <c r="J130" s="3" t="n">
        <v>46311</v>
      </c>
      <c r="K130" s="2" t="inlineStr">
        <is>
          <t>Medium</t>
        </is>
      </c>
      <c r="L130" s="2" t="inlineStr">
        <is>
          <t>subtask,PH-01,orig-075</t>
        </is>
      </c>
      <c r="M130" s="2" t="inlineStr">
        <is>
          <t>ORIG-075</t>
        </is>
      </c>
      <c r="N130" s="2" t="inlineStr"/>
      <c r="O130" s="2" t="inlineStr">
        <is>
          <t>PH-01</t>
        </is>
      </c>
      <c r="P130" s="2" t="inlineStr">
        <is>
          <t>CIN-T-012</t>
        </is>
      </c>
    </row>
    <row r="131">
      <c r="A131" s="2" t="inlineStr">
        <is>
          <t>Sub-task</t>
        </is>
      </c>
      <c r="B131" s="2" t="inlineStr">
        <is>
          <t>CIN-SUB-076</t>
        </is>
      </c>
      <c r="C131" s="2" t="inlineStr">
        <is>
          <t>CIN-T-012</t>
        </is>
      </c>
      <c r="D131" s="2" t="inlineStr">
        <is>
          <t>Repository Structure</t>
        </is>
      </c>
      <c r="E131" s="2" t="inlineStr">
        <is>
          <t>Original Row ID: ORIG-076. Original task: Repository Structure. Original description: Tổ chức source code.</t>
        </is>
      </c>
      <c r="F131" s="2" t="inlineStr">
        <is>
          <t>24120244</t>
        </is>
      </c>
      <c r="G131" s="2" t="inlineStr">
        <is>
          <t>Phan Van Viet</t>
        </is>
      </c>
      <c r="H131" s="2" t="inlineStr">
        <is>
          <t>Sprint 1</t>
        </is>
      </c>
      <c r="I131" s="3" t="n">
        <v>46298</v>
      </c>
      <c r="J131" s="3" t="n">
        <v>46311</v>
      </c>
      <c r="K131" s="2" t="inlineStr">
        <is>
          <t>Medium</t>
        </is>
      </c>
      <c r="L131" s="2" t="inlineStr">
        <is>
          <t>subtask,PH-01,orig-076</t>
        </is>
      </c>
      <c r="M131" s="2" t="inlineStr">
        <is>
          <t>ORIG-076</t>
        </is>
      </c>
      <c r="N131" s="2" t="inlineStr"/>
      <c r="O131" s="2" t="inlineStr">
        <is>
          <t>PH-01</t>
        </is>
      </c>
      <c r="P131" s="2" t="inlineStr">
        <is>
          <t>CIN-T-012</t>
        </is>
      </c>
    </row>
    <row r="132">
      <c r="A132" s="2" t="inlineStr">
        <is>
          <t>Sub-task</t>
        </is>
      </c>
      <c r="B132" s="2" t="inlineStr">
        <is>
          <t>CIN-SUB-077</t>
        </is>
      </c>
      <c r="C132" s="2" t="inlineStr">
        <is>
          <t>CIN-T-012</t>
        </is>
      </c>
      <c r="D132" s="2" t="inlineStr">
        <is>
          <t>Secrets Check</t>
        </is>
      </c>
      <c r="E132" s="2" t="inlineStr">
        <is>
          <t>Original Row ID: ORIG-077. Original task: Secrets Check. Original description: Kiểm tra secrets trước khi push.</t>
        </is>
      </c>
      <c r="F132" s="2" t="inlineStr">
        <is>
          <t>24120235</t>
        </is>
      </c>
      <c r="G132" s="2" t="inlineStr">
        <is>
          <t>Huynh Thanh Tu</t>
        </is>
      </c>
      <c r="H132" s="2" t="inlineStr">
        <is>
          <t>Sprint 1</t>
        </is>
      </c>
      <c r="I132" s="3" t="n">
        <v>46298</v>
      </c>
      <c r="J132" s="3" t="n">
        <v>46311</v>
      </c>
      <c r="K132" s="2" t="inlineStr">
        <is>
          <t>Medium</t>
        </is>
      </c>
      <c r="L132" s="2" t="inlineStr">
        <is>
          <t>subtask,PH-01,orig-077</t>
        </is>
      </c>
      <c r="M132" s="2" t="inlineStr">
        <is>
          <t>ORIG-077</t>
        </is>
      </c>
      <c r="N132" s="2" t="inlineStr"/>
      <c r="O132" s="2" t="inlineStr">
        <is>
          <t>PH-01</t>
        </is>
      </c>
      <c r="P132" s="2" t="inlineStr">
        <is>
          <t>CIN-T-012</t>
        </is>
      </c>
    </row>
    <row r="133">
      <c r="A133" s="2" t="inlineStr">
        <is>
          <t>Sub-task</t>
        </is>
      </c>
      <c r="B133" s="2" t="inlineStr">
        <is>
          <t>CIN-SUB-078</t>
        </is>
      </c>
      <c r="C133" s="2" t="inlineStr">
        <is>
          <t>CIN-T-013</t>
        </is>
      </c>
      <c r="D133" s="2" t="inlineStr">
        <is>
          <t>Xây dựng Entity Models</t>
        </is>
      </c>
      <c r="E133" s="2" t="inlineStr">
        <is>
          <t>Original Row ID: ORIG-078. Original task: Xây dựng Entity Models. Original description: Tạo toàn bộ Entity.</t>
        </is>
      </c>
      <c r="F133" s="2" t="inlineStr">
        <is>
          <t>24120255</t>
        </is>
      </c>
      <c r="G133" s="2" t="inlineStr">
        <is>
          <t>Tran Thien An</t>
        </is>
      </c>
      <c r="H133" s="2" t="inlineStr">
        <is>
          <t>Sprint 3</t>
        </is>
      </c>
      <c r="I133" s="3" t="n">
        <v>46326</v>
      </c>
      <c r="J133" s="3" t="n">
        <v>46339</v>
      </c>
      <c r="K133" s="2" t="inlineStr">
        <is>
          <t>High</t>
        </is>
      </c>
      <c r="L133" s="2" t="inlineStr">
        <is>
          <t>subtask,PH-03,orig-078</t>
        </is>
      </c>
      <c r="M133" s="2" t="inlineStr">
        <is>
          <t>ORIG-078</t>
        </is>
      </c>
      <c r="N133" s="2" t="inlineStr">
        <is>
          <t>CIN-T-007, CIN-T-037</t>
        </is>
      </c>
      <c r="O133" s="2" t="inlineStr">
        <is>
          <t>PH-03</t>
        </is>
      </c>
      <c r="P133" s="2" t="inlineStr">
        <is>
          <t>CIN-T-013</t>
        </is>
      </c>
    </row>
    <row r="134">
      <c r="A134" s="2" t="inlineStr">
        <is>
          <t>Sub-task</t>
        </is>
      </c>
      <c r="B134" s="2" t="inlineStr">
        <is>
          <t>CIN-SUB-079</t>
        </is>
      </c>
      <c r="C134" s="2" t="inlineStr">
        <is>
          <t>CIN-T-013</t>
        </is>
      </c>
      <c r="D134" s="2" t="inlineStr">
        <is>
          <t>Xây dựng AppDbContext</t>
        </is>
      </c>
      <c r="E134" s="2" t="inlineStr">
        <is>
          <t>Original Row ID: ORIG-079. Original task: Xây dựng AppDbContext. Original description: DbSet và cấu hình database.</t>
        </is>
      </c>
      <c r="F134" s="2" t="inlineStr">
        <is>
          <t>24120271</t>
        </is>
      </c>
      <c r="G134" s="2" t="inlineStr">
        <is>
          <t>Nguyen Trung Chinh</t>
        </is>
      </c>
      <c r="H134" s="2" t="inlineStr">
        <is>
          <t>Sprint 3</t>
        </is>
      </c>
      <c r="I134" s="3" t="n">
        <v>46326</v>
      </c>
      <c r="J134" s="3" t="n">
        <v>46339</v>
      </c>
      <c r="K134" s="2" t="inlineStr">
        <is>
          <t>High</t>
        </is>
      </c>
      <c r="L134" s="2" t="inlineStr">
        <is>
          <t>subtask,PH-03,orig-079</t>
        </is>
      </c>
      <c r="M134" s="2" t="inlineStr">
        <is>
          <t>ORIG-079</t>
        </is>
      </c>
      <c r="N134" s="2" t="inlineStr">
        <is>
          <t>CIN-T-007, CIN-T-037</t>
        </is>
      </c>
      <c r="O134" s="2" t="inlineStr">
        <is>
          <t>PH-03</t>
        </is>
      </c>
      <c r="P134" s="2" t="inlineStr">
        <is>
          <t>CIN-T-013</t>
        </is>
      </c>
    </row>
    <row r="135">
      <c r="A135" s="2" t="inlineStr">
        <is>
          <t>Sub-task</t>
        </is>
      </c>
      <c r="B135" s="2" t="inlineStr">
        <is>
          <t>CIN-SUB-080</t>
        </is>
      </c>
      <c r="C135" s="2" t="inlineStr">
        <is>
          <t>CIN-T-013</t>
        </is>
      </c>
      <c r="D135" s="2" t="inlineStr">
        <is>
          <t>Cấu hình Relationships</t>
        </is>
      </c>
      <c r="E135" s="2" t="inlineStr">
        <is>
          <t>Original Row ID: ORIG-080. Original task: Cấu hình Relationships. Original description: Fluent API / Data Annotation.</t>
        </is>
      </c>
      <c r="F135" s="2" t="inlineStr">
        <is>
          <t>24120244</t>
        </is>
      </c>
      <c r="G135" s="2" t="inlineStr">
        <is>
          <t>Phan Van Viet</t>
        </is>
      </c>
      <c r="H135" s="2" t="inlineStr">
        <is>
          <t>Sprint 3</t>
        </is>
      </c>
      <c r="I135" s="3" t="n">
        <v>46326</v>
      </c>
      <c r="J135" s="3" t="n">
        <v>46339</v>
      </c>
      <c r="K135" s="2" t="inlineStr">
        <is>
          <t>High</t>
        </is>
      </c>
      <c r="L135" s="2" t="inlineStr">
        <is>
          <t>subtask,PH-03,orig-080</t>
        </is>
      </c>
      <c r="M135" s="2" t="inlineStr">
        <is>
          <t>ORIG-080</t>
        </is>
      </c>
      <c r="N135" s="2" t="inlineStr">
        <is>
          <t>CIN-T-007, CIN-T-037</t>
        </is>
      </c>
      <c r="O135" s="2" t="inlineStr">
        <is>
          <t>PH-03</t>
        </is>
      </c>
      <c r="P135" s="2" t="inlineStr">
        <is>
          <t>CIN-T-013</t>
        </is>
      </c>
    </row>
    <row r="136">
      <c r="A136" s="2" t="inlineStr">
        <is>
          <t>Sub-task</t>
        </is>
      </c>
      <c r="B136" s="2" t="inlineStr">
        <is>
          <t>CIN-SUB-081</t>
        </is>
      </c>
      <c r="C136" s="2" t="inlineStr">
        <is>
          <t>CIN-T-013</t>
        </is>
      </c>
      <c r="D136" s="2" t="inlineStr">
        <is>
          <t>Cấu hình PostgreSQL</t>
        </is>
      </c>
      <c r="E136" s="2" t="inlineStr">
        <is>
          <t>Original Row ID: ORIG-081. Original task: Cấu hình PostgreSQL. Original description: Npgsql + Connection String.</t>
        </is>
      </c>
      <c r="F136" s="2" t="inlineStr">
        <is>
          <t>24120098</t>
        </is>
      </c>
      <c r="G136" s="2" t="inlineStr">
        <is>
          <t>Nguyen Quoc Nam</t>
        </is>
      </c>
      <c r="H136" s="2" t="inlineStr">
        <is>
          <t>Sprint 3</t>
        </is>
      </c>
      <c r="I136" s="3" t="n">
        <v>46326</v>
      </c>
      <c r="J136" s="3" t="n">
        <v>46339</v>
      </c>
      <c r="K136" s="2" t="inlineStr">
        <is>
          <t>High</t>
        </is>
      </c>
      <c r="L136" s="2" t="inlineStr">
        <is>
          <t>subtask,PH-03,orig-081</t>
        </is>
      </c>
      <c r="M136" s="2" t="inlineStr">
        <is>
          <t>ORIG-081</t>
        </is>
      </c>
      <c r="N136" s="2" t="inlineStr">
        <is>
          <t>CIN-T-007, CIN-T-037</t>
        </is>
      </c>
      <c r="O136" s="2" t="inlineStr">
        <is>
          <t>PH-03</t>
        </is>
      </c>
      <c r="P136" s="2" t="inlineStr">
        <is>
          <t>CIN-T-013</t>
        </is>
      </c>
    </row>
    <row r="137">
      <c r="A137" s="2" t="inlineStr">
        <is>
          <t>Sub-task</t>
        </is>
      </c>
      <c r="B137" s="2" t="inlineStr">
        <is>
          <t>CIN-SUB-082</t>
        </is>
      </c>
      <c r="C137" s="2" t="inlineStr">
        <is>
          <t>CIN-T-013</t>
        </is>
      </c>
      <c r="D137" s="2" t="inlineStr">
        <is>
          <t>Migration</t>
        </is>
      </c>
      <c r="E137" s="2" t="inlineStr">
        <is>
          <t>Original Row ID: ORIG-082. Original task: Migration. Original description: Tạo và cập nhật database.</t>
        </is>
      </c>
      <c r="F137" s="2" t="inlineStr">
        <is>
          <t>24120235</t>
        </is>
      </c>
      <c r="G137" s="2" t="inlineStr">
        <is>
          <t>Huynh Thanh Tu</t>
        </is>
      </c>
      <c r="H137" s="2" t="inlineStr">
        <is>
          <t>Sprint 3</t>
        </is>
      </c>
      <c r="I137" s="3" t="n">
        <v>46326</v>
      </c>
      <c r="J137" s="3" t="n">
        <v>46339</v>
      </c>
      <c r="K137" s="2" t="inlineStr">
        <is>
          <t>High</t>
        </is>
      </c>
      <c r="L137" s="2" t="inlineStr">
        <is>
          <t>subtask,PH-03,orig-082</t>
        </is>
      </c>
      <c r="M137" s="2" t="inlineStr">
        <is>
          <t>ORIG-082</t>
        </is>
      </c>
      <c r="N137" s="2" t="inlineStr">
        <is>
          <t>CIN-T-007, CIN-T-037</t>
        </is>
      </c>
      <c r="O137" s="2" t="inlineStr">
        <is>
          <t>PH-03</t>
        </is>
      </c>
      <c r="P137" s="2" t="inlineStr">
        <is>
          <t>CIN-T-013</t>
        </is>
      </c>
    </row>
    <row r="138">
      <c r="A138" s="2" t="inlineStr">
        <is>
          <t>Sub-task</t>
        </is>
      </c>
      <c r="B138" s="2" t="inlineStr">
        <is>
          <t>CIN-SUB-083</t>
        </is>
      </c>
      <c r="C138" s="2" t="inlineStr">
        <is>
          <t>CIN-T-013</t>
        </is>
      </c>
      <c r="D138" s="2" t="inlineStr">
        <is>
          <t>Seed Data</t>
        </is>
      </c>
      <c r="E138" s="2" t="inlineStr">
        <is>
          <t>Original Row ID: ORIG-083. Original task: Seed Data. Original description: Phim, phòng, ghế, suất chiếu, user,....</t>
        </is>
      </c>
      <c r="F138" s="2" t="inlineStr">
        <is>
          <t>24120255</t>
        </is>
      </c>
      <c r="G138" s="2" t="inlineStr">
        <is>
          <t>Tran Thien An</t>
        </is>
      </c>
      <c r="H138" s="2" t="inlineStr">
        <is>
          <t>Sprint 3</t>
        </is>
      </c>
      <c r="I138" s="3" t="n">
        <v>46326</v>
      </c>
      <c r="J138" s="3" t="n">
        <v>46339</v>
      </c>
      <c r="K138" s="2" t="inlineStr">
        <is>
          <t>High</t>
        </is>
      </c>
      <c r="L138" s="2" t="inlineStr">
        <is>
          <t>subtask,PH-03,orig-083</t>
        </is>
      </c>
      <c r="M138" s="2" t="inlineStr">
        <is>
          <t>ORIG-083</t>
        </is>
      </c>
      <c r="N138" s="2" t="inlineStr">
        <is>
          <t>CIN-T-007, CIN-T-037</t>
        </is>
      </c>
      <c r="O138" s="2" t="inlineStr">
        <is>
          <t>PH-03</t>
        </is>
      </c>
      <c r="P138" s="2" t="inlineStr">
        <is>
          <t>CIN-T-013</t>
        </is>
      </c>
    </row>
    <row r="139">
      <c r="A139" s="2" t="inlineStr">
        <is>
          <t>Sub-task</t>
        </is>
      </c>
      <c r="B139" s="2" t="inlineStr">
        <is>
          <t>CIN-SUB-084</t>
        </is>
      </c>
      <c r="C139" s="2" t="inlineStr">
        <is>
          <t>CIN-T-013</t>
        </is>
      </c>
      <c r="D139" s="2" t="inlineStr">
        <is>
          <t>Database Initialization</t>
        </is>
      </c>
      <c r="E139" s="2" t="inlineStr">
        <is>
          <t>Original Row ID: ORIG-084. Original task: Database Initialization. Original description: Migration + Seed khi khởi chạy.</t>
        </is>
      </c>
      <c r="F139" s="2" t="inlineStr">
        <is>
          <t>24120098</t>
        </is>
      </c>
      <c r="G139" s="2" t="inlineStr">
        <is>
          <t>Nguyen Quoc Nam</t>
        </is>
      </c>
      <c r="H139" s="2" t="inlineStr">
        <is>
          <t>Sprint 3</t>
        </is>
      </c>
      <c r="I139" s="3" t="n">
        <v>46326</v>
      </c>
      <c r="J139" s="3" t="n">
        <v>46339</v>
      </c>
      <c r="K139" s="2" t="inlineStr">
        <is>
          <t>High</t>
        </is>
      </c>
      <c r="L139" s="2" t="inlineStr">
        <is>
          <t>subtask,PH-03,orig-084</t>
        </is>
      </c>
      <c r="M139" s="2" t="inlineStr">
        <is>
          <t>ORIG-084</t>
        </is>
      </c>
      <c r="N139" s="2" t="inlineStr">
        <is>
          <t>CIN-T-007, CIN-T-037</t>
        </is>
      </c>
      <c r="O139" s="2" t="inlineStr">
        <is>
          <t>PH-03</t>
        </is>
      </c>
      <c r="P139" s="2" t="inlineStr">
        <is>
          <t>CIN-T-013</t>
        </is>
      </c>
    </row>
    <row r="140">
      <c r="A140" s="2" t="inlineStr">
        <is>
          <t>Sub-task</t>
        </is>
      </c>
      <c r="B140" s="2" t="inlineStr">
        <is>
          <t>CIN-SUB-085</t>
        </is>
      </c>
      <c r="C140" s="2" t="inlineStr">
        <is>
          <t>CIN-T-013</t>
        </is>
      </c>
      <c r="D140" s="2" t="inlineStr">
        <is>
          <t>Transaction</t>
        </is>
      </c>
      <c r="E140" s="2" t="inlineStr">
        <is>
          <t>Original Row ID: ORIG-085. Original task: Transaction. Original description: Đảm bảo các thao tác nhiều bước được xử lý nguyên tử.</t>
        </is>
      </c>
      <c r="F140" s="2" t="inlineStr">
        <is>
          <t>24120271</t>
        </is>
      </c>
      <c r="G140" s="2" t="inlineStr">
        <is>
          <t>Nguyen Trung Chinh</t>
        </is>
      </c>
      <c r="H140" s="2" t="inlineStr">
        <is>
          <t>Sprint 3</t>
        </is>
      </c>
      <c r="I140" s="3" t="n">
        <v>46326</v>
      </c>
      <c r="J140" s="3" t="n">
        <v>46339</v>
      </c>
      <c r="K140" s="2" t="inlineStr">
        <is>
          <t>High</t>
        </is>
      </c>
      <c r="L140" s="2" t="inlineStr">
        <is>
          <t>subtask,PH-03,orig-085</t>
        </is>
      </c>
      <c r="M140" s="2" t="inlineStr">
        <is>
          <t>ORIG-085</t>
        </is>
      </c>
      <c r="N140" s="2" t="inlineStr">
        <is>
          <t>CIN-T-007, CIN-T-037</t>
        </is>
      </c>
      <c r="O140" s="2" t="inlineStr">
        <is>
          <t>PH-03</t>
        </is>
      </c>
      <c r="P140" s="2" t="inlineStr">
        <is>
          <t>CIN-T-013</t>
        </is>
      </c>
    </row>
    <row r="141">
      <c r="A141" s="2" t="inlineStr">
        <is>
          <t>Sub-task</t>
        </is>
      </c>
      <c r="B141" s="2" t="inlineStr">
        <is>
          <t>CIN-SUB-086</t>
        </is>
      </c>
      <c r="C141" s="2" t="inlineStr">
        <is>
          <t>CIN-T-014</t>
        </is>
      </c>
      <c r="D141" s="2" t="inlineStr">
        <is>
          <t>Thiết kế REST API</t>
        </is>
      </c>
      <c r="E141" s="2" t="inlineStr">
        <is>
          <t>Original Row ID: ORIG-086. Original task: Thiết kế REST API. Original description: Endpoint, HTTP Method, Request, Response.</t>
        </is>
      </c>
      <c r="F141" s="2" t="inlineStr">
        <is>
          <t>24120244</t>
        </is>
      </c>
      <c r="G141" s="2" t="inlineStr">
        <is>
          <t>Phan Van Viet</t>
        </is>
      </c>
      <c r="H141" s="2" t="inlineStr">
        <is>
          <t>Sprint 3</t>
        </is>
      </c>
      <c r="I141" s="3" t="n">
        <v>46326</v>
      </c>
      <c r="J141" s="3" t="n">
        <v>46339</v>
      </c>
      <c r="K141" s="2" t="inlineStr">
        <is>
          <t>High</t>
        </is>
      </c>
      <c r="L141" s="2" t="inlineStr">
        <is>
          <t>subtask,PH-02,orig-086</t>
        </is>
      </c>
      <c r="M141" s="2" t="inlineStr">
        <is>
          <t>ORIG-086</t>
        </is>
      </c>
      <c r="N141" s="2" t="inlineStr">
        <is>
          <t>CIN-T-011, CIN-T-007</t>
        </is>
      </c>
      <c r="O141" s="2" t="inlineStr">
        <is>
          <t>PH-02</t>
        </is>
      </c>
      <c r="P141" s="2" t="inlineStr">
        <is>
          <t>CIN-T-014</t>
        </is>
      </c>
    </row>
    <row r="142">
      <c r="A142" s="2" t="inlineStr">
        <is>
          <t>Sub-task</t>
        </is>
      </c>
      <c r="B142" s="2" t="inlineStr">
        <is>
          <t>CIN-SUB-087</t>
        </is>
      </c>
      <c r="C142" s="2" t="inlineStr">
        <is>
          <t>CIN-T-014</t>
        </is>
      </c>
      <c r="D142" s="2" t="inlineStr">
        <is>
          <t>Thiết kế DTO</t>
        </is>
      </c>
      <c r="E142" s="2" t="inlineStr">
        <is>
          <t>Original Row ID: ORIG-087. Original task: Thiết kế DTO. Original description: Request DTO / Response DTO.</t>
        </is>
      </c>
      <c r="F142" s="2" t="inlineStr">
        <is>
          <t>24120235</t>
        </is>
      </c>
      <c r="G142" s="2" t="inlineStr">
        <is>
          <t>Huynh Thanh Tu</t>
        </is>
      </c>
      <c r="H142" s="2" t="inlineStr">
        <is>
          <t>Sprint 3</t>
        </is>
      </c>
      <c r="I142" s="3" t="n">
        <v>46326</v>
      </c>
      <c r="J142" s="3" t="n">
        <v>46339</v>
      </c>
      <c r="K142" s="2" t="inlineStr">
        <is>
          <t>High</t>
        </is>
      </c>
      <c r="L142" s="2" t="inlineStr">
        <is>
          <t>subtask,PH-02,orig-087</t>
        </is>
      </c>
      <c r="M142" s="2" t="inlineStr">
        <is>
          <t>ORIG-087</t>
        </is>
      </c>
      <c r="N142" s="2" t="inlineStr">
        <is>
          <t>CIN-T-011, CIN-T-007</t>
        </is>
      </c>
      <c r="O142" s="2" t="inlineStr">
        <is>
          <t>PH-02</t>
        </is>
      </c>
      <c r="P142" s="2" t="inlineStr">
        <is>
          <t>CIN-T-014</t>
        </is>
      </c>
    </row>
    <row r="143">
      <c r="A143" s="2" t="inlineStr">
        <is>
          <t>Sub-task</t>
        </is>
      </c>
      <c r="B143" s="2" t="inlineStr">
        <is>
          <t>CIN-SUB-088</t>
        </is>
      </c>
      <c r="C143" s="2" t="inlineStr">
        <is>
          <t>CIN-T-015</t>
        </is>
      </c>
      <c r="D143" s="2" t="inlineStr">
        <is>
          <t>API Movie / Genre</t>
        </is>
      </c>
      <c r="E143" s="2" t="inlineStr">
        <is>
          <t>Original Row ID: ORIG-088. Original task: API Movie / Genre. Original description: CRUD phim và thể loại.</t>
        </is>
      </c>
      <c r="F143" s="2" t="inlineStr">
        <is>
          <t>24120255</t>
        </is>
      </c>
      <c r="G143" s="2" t="inlineStr">
        <is>
          <t>Tran Thien An</t>
        </is>
      </c>
      <c r="H143" s="2" t="inlineStr">
        <is>
          <t>Sprint 3</t>
        </is>
      </c>
      <c r="I143" s="3" t="n">
        <v>46326</v>
      </c>
      <c r="J143" s="3" t="n">
        <v>46339</v>
      </c>
      <c r="K143" s="2" t="inlineStr">
        <is>
          <t>High</t>
        </is>
      </c>
      <c r="L143" s="2" t="inlineStr">
        <is>
          <t>subtask,PH-03,orig-088</t>
        </is>
      </c>
      <c r="M143" s="2" t="inlineStr">
        <is>
          <t>ORIG-088</t>
        </is>
      </c>
      <c r="N143" s="2" t="inlineStr">
        <is>
          <t>CIN-T-013, CIN-T-014</t>
        </is>
      </c>
      <c r="O143" s="2" t="inlineStr">
        <is>
          <t>PH-03</t>
        </is>
      </c>
      <c r="P143" s="2" t="inlineStr">
        <is>
          <t>CIN-T-015</t>
        </is>
      </c>
    </row>
    <row r="144">
      <c r="A144" s="2" t="inlineStr">
        <is>
          <t>Sub-task</t>
        </is>
      </c>
      <c r="B144" s="2" t="inlineStr">
        <is>
          <t>CIN-SUB-089</t>
        </is>
      </c>
      <c r="C144" s="2" t="inlineStr">
        <is>
          <t>CIN-T-015</t>
        </is>
      </c>
      <c r="D144" s="2" t="inlineStr">
        <is>
          <t>API Cinema Room</t>
        </is>
      </c>
      <c r="E144" s="2" t="inlineStr">
        <is>
          <t>Original Row ID: ORIG-089. Original task: API Cinema Room. Original description: CRUD phòng chiếu.</t>
        </is>
      </c>
      <c r="F144" s="2" t="inlineStr">
        <is>
          <t>24120098</t>
        </is>
      </c>
      <c r="G144" s="2" t="inlineStr">
        <is>
          <t>Nguyen Quoc Nam</t>
        </is>
      </c>
      <c r="H144" s="2" t="inlineStr">
        <is>
          <t>Sprint 3</t>
        </is>
      </c>
      <c r="I144" s="3" t="n">
        <v>46326</v>
      </c>
      <c r="J144" s="3" t="n">
        <v>46339</v>
      </c>
      <c r="K144" s="2" t="inlineStr">
        <is>
          <t>High</t>
        </is>
      </c>
      <c r="L144" s="2" t="inlineStr">
        <is>
          <t>subtask,PH-03,orig-089</t>
        </is>
      </c>
      <c r="M144" s="2" t="inlineStr">
        <is>
          <t>ORIG-089</t>
        </is>
      </c>
      <c r="N144" s="2" t="inlineStr">
        <is>
          <t>CIN-T-013, CIN-T-014</t>
        </is>
      </c>
      <c r="O144" s="2" t="inlineStr">
        <is>
          <t>PH-03</t>
        </is>
      </c>
      <c r="P144" s="2" t="inlineStr">
        <is>
          <t>CIN-T-015</t>
        </is>
      </c>
    </row>
    <row r="145">
      <c r="A145" s="2" t="inlineStr">
        <is>
          <t>Sub-task</t>
        </is>
      </c>
      <c r="B145" s="2" t="inlineStr">
        <is>
          <t>CIN-SUB-090</t>
        </is>
      </c>
      <c r="C145" s="2" t="inlineStr">
        <is>
          <t>CIN-T-015</t>
        </is>
      </c>
      <c r="D145" s="2" t="inlineStr">
        <is>
          <t>API Seat / Seat Type</t>
        </is>
      </c>
      <c r="E145" s="2" t="inlineStr">
        <is>
          <t>Original Row ID: ORIG-090. Original task: API Seat / Seat Type. Original description: Quản lý sơ đồ ghế.</t>
        </is>
      </c>
      <c r="F145" s="2" t="inlineStr">
        <is>
          <t>24120235</t>
        </is>
      </c>
      <c r="G145" s="2" t="inlineStr">
        <is>
          <t>Huynh Thanh Tu</t>
        </is>
      </c>
      <c r="H145" s="2" t="inlineStr">
        <is>
          <t>Sprint 3</t>
        </is>
      </c>
      <c r="I145" s="3" t="n">
        <v>46326</v>
      </c>
      <c r="J145" s="3" t="n">
        <v>46339</v>
      </c>
      <c r="K145" s="2" t="inlineStr">
        <is>
          <t>High</t>
        </is>
      </c>
      <c r="L145" s="2" t="inlineStr">
        <is>
          <t>subtask,PH-03,orig-090</t>
        </is>
      </c>
      <c r="M145" s="2" t="inlineStr">
        <is>
          <t>ORIG-090</t>
        </is>
      </c>
      <c r="N145" s="2" t="inlineStr">
        <is>
          <t>CIN-T-013, CIN-T-014</t>
        </is>
      </c>
      <c r="O145" s="2" t="inlineStr">
        <is>
          <t>PH-03</t>
        </is>
      </c>
      <c r="P145" s="2" t="inlineStr">
        <is>
          <t>CIN-T-015</t>
        </is>
      </c>
    </row>
    <row r="146">
      <c r="A146" s="2" t="inlineStr">
        <is>
          <t>Sub-task</t>
        </is>
      </c>
      <c r="B146" s="2" t="inlineStr">
        <is>
          <t>CIN-SUB-091</t>
        </is>
      </c>
      <c r="C146" s="2" t="inlineStr">
        <is>
          <t>CIN-T-015</t>
        </is>
      </c>
      <c r="D146" s="2" t="inlineStr">
        <is>
          <t>API Ticket Type</t>
        </is>
      </c>
      <c r="E146" s="2" t="inlineStr">
        <is>
          <t>Original Row ID: ORIG-091. Original task: API Ticket Type. Original description: Quản lý loại vé và giá.</t>
        </is>
      </c>
      <c r="F146" s="2" t="inlineStr">
        <is>
          <t>24120271</t>
        </is>
      </c>
      <c r="G146" s="2" t="inlineStr">
        <is>
          <t>Nguyen Trung Chinh</t>
        </is>
      </c>
      <c r="H146" s="2" t="inlineStr">
        <is>
          <t>Sprint 3</t>
        </is>
      </c>
      <c r="I146" s="3" t="n">
        <v>46326</v>
      </c>
      <c r="J146" s="3" t="n">
        <v>46339</v>
      </c>
      <c r="K146" s="2" t="inlineStr">
        <is>
          <t>High</t>
        </is>
      </c>
      <c r="L146" s="2" t="inlineStr">
        <is>
          <t>subtask,PH-03,orig-091</t>
        </is>
      </c>
      <c r="M146" s="2" t="inlineStr">
        <is>
          <t>ORIG-091</t>
        </is>
      </c>
      <c r="N146" s="2" t="inlineStr">
        <is>
          <t>CIN-T-013, CIN-T-014</t>
        </is>
      </c>
      <c r="O146" s="2" t="inlineStr">
        <is>
          <t>PH-03</t>
        </is>
      </c>
      <c r="P146" s="2" t="inlineStr">
        <is>
          <t>CIN-T-015</t>
        </is>
      </c>
    </row>
    <row r="147">
      <c r="A147" s="2" t="inlineStr">
        <is>
          <t>Sub-task</t>
        </is>
      </c>
      <c r="B147" s="2" t="inlineStr">
        <is>
          <t>CIN-SUB-092</t>
        </is>
      </c>
      <c r="C147" s="2" t="inlineStr">
        <is>
          <t>CIN-T-015</t>
        </is>
      </c>
      <c r="D147" s="2" t="inlineStr">
        <is>
          <t>API Showtime</t>
        </is>
      </c>
      <c r="E147" s="2" t="inlineStr">
        <is>
          <t>Original Row ID: ORIG-092. Original task: API Showtime. Original description: CRUD và kiểm tra xung đột lịch.</t>
        </is>
      </c>
      <c r="F147" s="2" t="inlineStr">
        <is>
          <t>24120244</t>
        </is>
      </c>
      <c r="G147" s="2" t="inlineStr">
        <is>
          <t>Phan Van Viet</t>
        </is>
      </c>
      <c r="H147" s="2" t="inlineStr">
        <is>
          <t>Sprint 3</t>
        </is>
      </c>
      <c r="I147" s="3" t="n">
        <v>46326</v>
      </c>
      <c r="J147" s="3" t="n">
        <v>46339</v>
      </c>
      <c r="K147" s="2" t="inlineStr">
        <is>
          <t>High</t>
        </is>
      </c>
      <c r="L147" s="2" t="inlineStr">
        <is>
          <t>subtask,PH-03,orig-092</t>
        </is>
      </c>
      <c r="M147" s="2" t="inlineStr">
        <is>
          <t>ORIG-092</t>
        </is>
      </c>
      <c r="N147" s="2" t="inlineStr">
        <is>
          <t>CIN-T-013, CIN-T-014</t>
        </is>
      </c>
      <c r="O147" s="2" t="inlineStr">
        <is>
          <t>PH-03</t>
        </is>
      </c>
      <c r="P147" s="2" t="inlineStr">
        <is>
          <t>CIN-T-015</t>
        </is>
      </c>
    </row>
    <row r="148">
      <c r="A148" s="2" t="inlineStr">
        <is>
          <t>Sub-task</t>
        </is>
      </c>
      <c r="B148" s="2" t="inlineStr">
        <is>
          <t>CIN-SUB-093</t>
        </is>
      </c>
      <c r="C148" s="2" t="inlineStr">
        <is>
          <t>CIN-T-015</t>
        </is>
      </c>
      <c r="D148" s="2" t="inlineStr">
        <is>
          <t>API Schedule</t>
        </is>
      </c>
      <c r="E148" s="2" t="inlineStr">
        <is>
          <t>Original Row ID: ORIG-093. Original task: API Schedule. Original description: Truy vấn lịch chiếu.</t>
        </is>
      </c>
      <c r="F148" s="2" t="inlineStr">
        <is>
          <t>24120255</t>
        </is>
      </c>
      <c r="G148" s="2" t="inlineStr">
        <is>
          <t>Tran Thien An</t>
        </is>
      </c>
      <c r="H148" s="2" t="inlineStr">
        <is>
          <t>Sprint 3</t>
        </is>
      </c>
      <c r="I148" s="3" t="n">
        <v>46326</v>
      </c>
      <c r="J148" s="3" t="n">
        <v>46339</v>
      </c>
      <c r="K148" s="2" t="inlineStr">
        <is>
          <t>High</t>
        </is>
      </c>
      <c r="L148" s="2" t="inlineStr">
        <is>
          <t>subtask,PH-03,orig-093</t>
        </is>
      </c>
      <c r="M148" s="2" t="inlineStr">
        <is>
          <t>ORIG-093</t>
        </is>
      </c>
      <c r="N148" s="2" t="inlineStr">
        <is>
          <t>CIN-T-013, CIN-T-014</t>
        </is>
      </c>
      <c r="O148" s="2" t="inlineStr">
        <is>
          <t>PH-03</t>
        </is>
      </c>
      <c r="P148" s="2" t="inlineStr">
        <is>
          <t>CIN-T-015</t>
        </is>
      </c>
    </row>
    <row r="149">
      <c r="A149" s="2" t="inlineStr">
        <is>
          <t>Sub-task</t>
        </is>
      </c>
      <c r="B149" s="2" t="inlineStr">
        <is>
          <t>CIN-SUB-094</t>
        </is>
      </c>
      <c r="C149" s="2" t="inlineStr">
        <is>
          <t>CIN-T-015</t>
        </is>
      </c>
      <c r="D149" s="2" t="inlineStr">
        <is>
          <t>API Seat Availability</t>
        </is>
      </c>
      <c r="E149" s="2" t="inlineStr">
        <is>
          <t>Original Row ID: ORIG-094. Original task: API Seat Availability. Original description: Lấy trạng thái ghế theo suất chiếu.</t>
        </is>
      </c>
      <c r="F149" s="2" t="inlineStr">
        <is>
          <t>24120098</t>
        </is>
      </c>
      <c r="G149" s="2" t="inlineStr">
        <is>
          <t>Nguyen Quoc Nam</t>
        </is>
      </c>
      <c r="H149" s="2" t="inlineStr">
        <is>
          <t>Sprint 3</t>
        </is>
      </c>
      <c r="I149" s="3" t="n">
        <v>46326</v>
      </c>
      <c r="J149" s="3" t="n">
        <v>46339</v>
      </c>
      <c r="K149" s="2" t="inlineStr">
        <is>
          <t>High</t>
        </is>
      </c>
      <c r="L149" s="2" t="inlineStr">
        <is>
          <t>subtask,PH-03,orig-094</t>
        </is>
      </c>
      <c r="M149" s="2" t="inlineStr">
        <is>
          <t>ORIG-094</t>
        </is>
      </c>
      <c r="N149" s="2" t="inlineStr">
        <is>
          <t>CIN-T-013, CIN-T-014</t>
        </is>
      </c>
      <c r="O149" s="2" t="inlineStr">
        <is>
          <t>PH-03</t>
        </is>
      </c>
      <c r="P149" s="2" t="inlineStr">
        <is>
          <t>CIN-T-015</t>
        </is>
      </c>
    </row>
    <row r="150">
      <c r="A150" s="2" t="inlineStr">
        <is>
          <t>Sub-task</t>
        </is>
      </c>
      <c r="B150" s="2" t="inlineStr">
        <is>
          <t>CIN-SUB-095</t>
        </is>
      </c>
      <c r="C150" s="2" t="inlineStr">
        <is>
          <t>CIN-T-016</t>
        </is>
      </c>
      <c r="D150" s="2" t="inlineStr">
        <is>
          <t>API Booking</t>
        </is>
      </c>
      <c r="E150" s="2" t="inlineStr">
        <is>
          <t>Original Row ID: ORIG-095. Original task: API Booking. Original description: Tạo / xem / hủy booking.</t>
        </is>
      </c>
      <c r="F150" s="2" t="inlineStr">
        <is>
          <t>24120255</t>
        </is>
      </c>
      <c r="G150" s="2" t="inlineStr">
        <is>
          <t>Tran Thien An</t>
        </is>
      </c>
      <c r="H150" s="2" t="inlineStr">
        <is>
          <t>Sprint 4</t>
        </is>
      </c>
      <c r="I150" s="3" t="n">
        <v>46340</v>
      </c>
      <c r="J150" s="3" t="n">
        <v>46353</v>
      </c>
      <c r="K150" s="2" t="inlineStr">
        <is>
          <t>High</t>
        </is>
      </c>
      <c r="L150" s="2" t="inlineStr">
        <is>
          <t>subtask,PH-03,orig-095</t>
        </is>
      </c>
      <c r="M150" s="2" t="inlineStr">
        <is>
          <t>ORIG-095</t>
        </is>
      </c>
      <c r="N150" s="2" t="inlineStr">
        <is>
          <t>CIN-T-015, CIN-T-022, CIN-T-023</t>
        </is>
      </c>
      <c r="O150" s="2" t="inlineStr">
        <is>
          <t>PH-03</t>
        </is>
      </c>
      <c r="P150" s="2" t="inlineStr">
        <is>
          <t>CIN-T-016</t>
        </is>
      </c>
    </row>
    <row r="151">
      <c r="A151" s="2" t="inlineStr">
        <is>
          <t>Sub-task</t>
        </is>
      </c>
      <c r="B151" s="2" t="inlineStr">
        <is>
          <t>CIN-SUB-096</t>
        </is>
      </c>
      <c r="C151" s="2" t="inlineStr">
        <is>
          <t>CIN-T-016</t>
        </is>
      </c>
      <c r="D151" s="2" t="inlineStr">
        <is>
          <t>API Booking Detail</t>
        </is>
      </c>
      <c r="E151" s="2" t="inlineStr">
        <is>
          <t>Original Row ID: ORIG-096. Original task: API Booking Detail. Original description: Chi tiết ghế và loại vé.</t>
        </is>
      </c>
      <c r="F151" s="2" t="inlineStr">
        <is>
          <t>24120271</t>
        </is>
      </c>
      <c r="G151" s="2" t="inlineStr">
        <is>
          <t>Nguyen Trung Chinh</t>
        </is>
      </c>
      <c r="H151" s="2" t="inlineStr">
        <is>
          <t>Sprint 4</t>
        </is>
      </c>
      <c r="I151" s="3" t="n">
        <v>46340</v>
      </c>
      <c r="J151" s="3" t="n">
        <v>46353</v>
      </c>
      <c r="K151" s="2" t="inlineStr">
        <is>
          <t>High</t>
        </is>
      </c>
      <c r="L151" s="2" t="inlineStr">
        <is>
          <t>subtask,PH-03,orig-096</t>
        </is>
      </c>
      <c r="M151" s="2" t="inlineStr">
        <is>
          <t>ORIG-096</t>
        </is>
      </c>
      <c r="N151" s="2" t="inlineStr">
        <is>
          <t>CIN-T-015, CIN-T-022, CIN-T-023</t>
        </is>
      </c>
      <c r="O151" s="2" t="inlineStr">
        <is>
          <t>PH-03</t>
        </is>
      </c>
      <c r="P151" s="2" t="inlineStr">
        <is>
          <t>CIN-T-016</t>
        </is>
      </c>
    </row>
    <row r="152">
      <c r="A152" s="2" t="inlineStr">
        <is>
          <t>Sub-task</t>
        </is>
      </c>
      <c r="B152" s="2" t="inlineStr">
        <is>
          <t>CIN-SUB-097</t>
        </is>
      </c>
      <c r="C152" s="2" t="inlineStr">
        <is>
          <t>CIN-T-016</t>
        </is>
      </c>
      <c r="D152" s="2" t="inlineStr">
        <is>
          <t>API Ticket</t>
        </is>
      </c>
      <c r="E152" s="2" t="inlineStr">
        <is>
          <t>Original Row ID: ORIG-097. Original task: API Ticket. Original description: Phát hành và truy vấn vé.</t>
        </is>
      </c>
      <c r="F152" s="2" t="inlineStr">
        <is>
          <t>24120244</t>
        </is>
      </c>
      <c r="G152" s="2" t="inlineStr">
        <is>
          <t>Phan Van Viet</t>
        </is>
      </c>
      <c r="H152" s="2" t="inlineStr">
        <is>
          <t>Sprint 4</t>
        </is>
      </c>
      <c r="I152" s="3" t="n">
        <v>46340</v>
      </c>
      <c r="J152" s="3" t="n">
        <v>46353</v>
      </c>
      <c r="K152" s="2" t="inlineStr">
        <is>
          <t>High</t>
        </is>
      </c>
      <c r="L152" s="2" t="inlineStr">
        <is>
          <t>subtask,PH-03,orig-097</t>
        </is>
      </c>
      <c r="M152" s="2" t="inlineStr">
        <is>
          <t>ORIG-097</t>
        </is>
      </c>
      <c r="N152" s="2" t="inlineStr">
        <is>
          <t>CIN-T-015, CIN-T-022, CIN-T-023</t>
        </is>
      </c>
      <c r="O152" s="2" t="inlineStr">
        <is>
          <t>PH-03</t>
        </is>
      </c>
      <c r="P152" s="2" t="inlineStr">
        <is>
          <t>CIN-T-016</t>
        </is>
      </c>
    </row>
    <row r="153">
      <c r="A153" s="2" t="inlineStr">
        <is>
          <t>Sub-task</t>
        </is>
      </c>
      <c r="B153" s="2" t="inlineStr">
        <is>
          <t>CIN-SUB-098</t>
        </is>
      </c>
      <c r="C153" s="2" t="inlineStr">
        <is>
          <t>CIN-T-016</t>
        </is>
      </c>
      <c r="D153" s="2" t="inlineStr">
        <is>
          <t>API Payment</t>
        </is>
      </c>
      <c r="E153" s="2" t="inlineStr">
        <is>
          <t>Original Row ID: ORIG-098. Original task: API Payment. Original description: Tạo và cập nhật thanh toán.</t>
        </is>
      </c>
      <c r="F153" s="2" t="inlineStr">
        <is>
          <t>24120235</t>
        </is>
      </c>
      <c r="G153" s="2" t="inlineStr">
        <is>
          <t>Huynh Thanh Tu</t>
        </is>
      </c>
      <c r="H153" s="2" t="inlineStr">
        <is>
          <t>Sprint 4</t>
        </is>
      </c>
      <c r="I153" s="3" t="n">
        <v>46340</v>
      </c>
      <c r="J153" s="3" t="n">
        <v>46353</v>
      </c>
      <c r="K153" s="2" t="inlineStr">
        <is>
          <t>High</t>
        </is>
      </c>
      <c r="L153" s="2" t="inlineStr">
        <is>
          <t>subtask,PH-03,orig-098</t>
        </is>
      </c>
      <c r="M153" s="2" t="inlineStr">
        <is>
          <t>ORIG-098</t>
        </is>
      </c>
      <c r="N153" s="2" t="inlineStr">
        <is>
          <t>CIN-T-015, CIN-T-022, CIN-T-023</t>
        </is>
      </c>
      <c r="O153" s="2" t="inlineStr">
        <is>
          <t>PH-03</t>
        </is>
      </c>
      <c r="P153" s="2" t="inlineStr">
        <is>
          <t>CIN-T-016</t>
        </is>
      </c>
    </row>
    <row r="154">
      <c r="A154" s="2" t="inlineStr">
        <is>
          <t>Sub-task</t>
        </is>
      </c>
      <c r="B154" s="2" t="inlineStr">
        <is>
          <t>CIN-SUB-099</t>
        </is>
      </c>
      <c r="C154" s="2" t="inlineStr">
        <is>
          <t>CIN-T-017</t>
        </is>
      </c>
      <c r="D154" s="2" t="inlineStr">
        <is>
          <t>API User</t>
        </is>
      </c>
      <c r="E154" s="2" t="inlineStr">
        <is>
          <t>Original Row ID: ORIG-099. Original task: API User. Original description: Quản lý tài khoản.</t>
        </is>
      </c>
      <c r="F154" s="2" t="inlineStr">
        <is>
          <t>24120255</t>
        </is>
      </c>
      <c r="G154" s="2" t="inlineStr">
        <is>
          <t>Tran Thien An</t>
        </is>
      </c>
      <c r="H154" s="2" t="inlineStr">
        <is>
          <t>Sprint 5</t>
        </is>
      </c>
      <c r="I154" s="3" t="n">
        <v>46354</v>
      </c>
      <c r="J154" s="3" t="n">
        <v>46368</v>
      </c>
      <c r="K154" s="2" t="inlineStr">
        <is>
          <t>Medium</t>
        </is>
      </c>
      <c r="L154" s="2" t="inlineStr">
        <is>
          <t>subtask,PH-04,orig-099</t>
        </is>
      </c>
      <c r="M154" s="2" t="inlineStr">
        <is>
          <t>ORIG-099</t>
        </is>
      </c>
      <c r="N154" s="2" t="inlineStr">
        <is>
          <t>CIN-T-019, CIN-T-015</t>
        </is>
      </c>
      <c r="O154" s="2" t="inlineStr">
        <is>
          <t>PH-04</t>
        </is>
      </c>
      <c r="P154" s="2" t="inlineStr">
        <is>
          <t>CIN-T-017</t>
        </is>
      </c>
    </row>
    <row r="155">
      <c r="A155" s="2" t="inlineStr">
        <is>
          <t>Sub-task</t>
        </is>
      </c>
      <c r="B155" s="2" t="inlineStr">
        <is>
          <t>CIN-SUB-100</t>
        </is>
      </c>
      <c r="C155" s="2" t="inlineStr">
        <is>
          <t>CIN-T-017</t>
        </is>
      </c>
      <c r="D155" s="2" t="inlineStr">
        <is>
          <t>API Statistics</t>
        </is>
      </c>
      <c r="E155" s="2" t="inlineStr">
        <is>
          <t>Original Row ID: ORIG-100. Original task: API Statistics. Original description: Cung cấp dữ liệu thống kê.</t>
        </is>
      </c>
      <c r="F155" s="2" t="inlineStr">
        <is>
          <t>24120098</t>
        </is>
      </c>
      <c r="G155" s="2" t="inlineStr">
        <is>
          <t>Nguyen Quoc Nam</t>
        </is>
      </c>
      <c r="H155" s="2" t="inlineStr">
        <is>
          <t>Sprint 5</t>
        </is>
      </c>
      <c r="I155" s="3" t="n">
        <v>46354</v>
      </c>
      <c r="J155" s="3" t="n">
        <v>46368</v>
      </c>
      <c r="K155" s="2" t="inlineStr">
        <is>
          <t>Medium</t>
        </is>
      </c>
      <c r="L155" s="2" t="inlineStr">
        <is>
          <t>subtask,PH-04,orig-100</t>
        </is>
      </c>
      <c r="M155" s="2" t="inlineStr">
        <is>
          <t>ORIG-100</t>
        </is>
      </c>
      <c r="N155" s="2" t="inlineStr">
        <is>
          <t>CIN-T-019, CIN-T-015</t>
        </is>
      </c>
      <c r="O155" s="2" t="inlineStr">
        <is>
          <t>PH-04</t>
        </is>
      </c>
      <c r="P155" s="2" t="inlineStr">
        <is>
          <t>CIN-T-017</t>
        </is>
      </c>
    </row>
    <row r="156">
      <c r="A156" s="2" t="inlineStr">
        <is>
          <t>Sub-task</t>
        </is>
      </c>
      <c r="B156" s="2" t="inlineStr">
        <is>
          <t>CIN-SUB-101</t>
        </is>
      </c>
      <c r="C156" s="2" t="inlineStr">
        <is>
          <t>CIN-T-018</t>
        </is>
      </c>
      <c r="D156" s="2" t="inlineStr">
        <is>
          <t>Swagger / OpenAPI</t>
        </is>
      </c>
      <c r="E156" s="2" t="inlineStr">
        <is>
          <t>Original Row ID: ORIG-101. Original task: Swagger / OpenAPI. Original description: Tài liệu và kiểm thử API.</t>
        </is>
      </c>
      <c r="F156" s="2" t="inlineStr">
        <is>
          <t>24120235</t>
        </is>
      </c>
      <c r="G156" s="2" t="inlineStr">
        <is>
          <t>Huynh Thanh Tu</t>
        </is>
      </c>
      <c r="H156" s="2" t="inlineStr">
        <is>
          <t>Sprint 3</t>
        </is>
      </c>
      <c r="I156" s="3" t="n">
        <v>46326</v>
      </c>
      <c r="J156" s="3" t="n">
        <v>46339</v>
      </c>
      <c r="K156" s="2" t="inlineStr">
        <is>
          <t>Medium</t>
        </is>
      </c>
      <c r="L156" s="2" t="inlineStr">
        <is>
          <t>subtask,PH-03,orig-101</t>
        </is>
      </c>
      <c r="M156" s="2" t="inlineStr">
        <is>
          <t>ORIG-101</t>
        </is>
      </c>
      <c r="N156" s="2" t="inlineStr">
        <is>
          <t>CIN-T-014</t>
        </is>
      </c>
      <c r="O156" s="2" t="inlineStr">
        <is>
          <t>PH-03</t>
        </is>
      </c>
      <c r="P156" s="2" t="inlineStr">
        <is>
          <t>CIN-T-018</t>
        </is>
      </c>
    </row>
    <row r="157">
      <c r="A157" s="2" t="inlineStr">
        <is>
          <t>Sub-task</t>
        </is>
      </c>
      <c r="B157" s="2" t="inlineStr">
        <is>
          <t>CIN-SUB-102</t>
        </is>
      </c>
      <c r="C157" s="2" t="inlineStr">
        <is>
          <t>CIN-T-018</t>
        </is>
      </c>
      <c r="D157" s="2" t="inlineStr">
        <is>
          <t>API Response Convention</t>
        </is>
      </c>
      <c r="E157" s="2" t="inlineStr">
        <is>
          <t>Original Row ID: ORIG-102. Original task: API Response Convention. Original description: Chuẩn hóa response và HTTP status code.</t>
        </is>
      </c>
      <c r="F157" s="2" t="inlineStr">
        <is>
          <t>24120271</t>
        </is>
      </c>
      <c r="G157" s="2" t="inlineStr">
        <is>
          <t>Nguyen Trung Chinh</t>
        </is>
      </c>
      <c r="H157" s="2" t="inlineStr">
        <is>
          <t>Sprint 3</t>
        </is>
      </c>
      <c r="I157" s="3" t="n">
        <v>46326</v>
      </c>
      <c r="J157" s="3" t="n">
        <v>46339</v>
      </c>
      <c r="K157" s="2" t="inlineStr">
        <is>
          <t>Medium</t>
        </is>
      </c>
      <c r="L157" s="2" t="inlineStr">
        <is>
          <t>subtask,PH-03,orig-102</t>
        </is>
      </c>
      <c r="M157" s="2" t="inlineStr">
        <is>
          <t>ORIG-102</t>
        </is>
      </c>
      <c r="N157" s="2" t="inlineStr">
        <is>
          <t>CIN-T-014</t>
        </is>
      </c>
      <c r="O157" s="2" t="inlineStr">
        <is>
          <t>PH-03</t>
        </is>
      </c>
      <c r="P157" s="2" t="inlineStr">
        <is>
          <t>CIN-T-018</t>
        </is>
      </c>
    </row>
    <row r="158">
      <c r="A158" s="2" t="inlineStr">
        <is>
          <t>Sub-task</t>
        </is>
      </c>
      <c r="B158" s="2" t="inlineStr">
        <is>
          <t>CIN-SUB-103</t>
        </is>
      </c>
      <c r="C158" s="2" t="inlineStr">
        <is>
          <t>CIN-T-019</t>
        </is>
      </c>
      <c r="D158" s="2" t="inlineStr">
        <is>
          <t>Register</t>
        </is>
      </c>
      <c r="E158" s="2" t="inlineStr">
        <is>
          <t>Original Row ID: ORIG-103. Original task: Register. Original description: Đăng ký tài khoản.</t>
        </is>
      </c>
      <c r="F158" s="2" t="inlineStr">
        <is>
          <t>24120244</t>
        </is>
      </c>
      <c r="G158" s="2" t="inlineStr">
        <is>
          <t>Phan Van Viet</t>
        </is>
      </c>
      <c r="H158" s="2" t="inlineStr">
        <is>
          <t>Sprint 3</t>
        </is>
      </c>
      <c r="I158" s="3" t="n">
        <v>46326</v>
      </c>
      <c r="J158" s="3" t="n">
        <v>46339</v>
      </c>
      <c r="K158" s="2" t="inlineStr">
        <is>
          <t>High</t>
        </is>
      </c>
      <c r="L158" s="2" t="inlineStr">
        <is>
          <t>subtask,PH-03,orig-103</t>
        </is>
      </c>
      <c r="M158" s="2" t="inlineStr">
        <is>
          <t>ORIG-103</t>
        </is>
      </c>
      <c r="N158" s="2" t="inlineStr">
        <is>
          <t>CIN-T-013, CIN-T-014, CIN-T-003</t>
        </is>
      </c>
      <c r="O158" s="2" t="inlineStr">
        <is>
          <t>PH-03</t>
        </is>
      </c>
      <c r="P158" s="2" t="inlineStr">
        <is>
          <t>CIN-T-019</t>
        </is>
      </c>
    </row>
    <row r="159">
      <c r="A159" s="2" t="inlineStr">
        <is>
          <t>Sub-task</t>
        </is>
      </c>
      <c r="B159" s="2" t="inlineStr">
        <is>
          <t>CIN-SUB-104</t>
        </is>
      </c>
      <c r="C159" s="2" t="inlineStr">
        <is>
          <t>CIN-T-019</t>
        </is>
      </c>
      <c r="D159" s="2" t="inlineStr">
        <is>
          <t>Login</t>
        </is>
      </c>
      <c r="E159" s="2" t="inlineStr">
        <is>
          <t>Original Row ID: ORIG-104. Original task: Login. Original description: Đăng nhập.</t>
        </is>
      </c>
      <c r="F159" s="2" t="inlineStr">
        <is>
          <t>24120255</t>
        </is>
      </c>
      <c r="G159" s="2" t="inlineStr">
        <is>
          <t>Tran Thien An</t>
        </is>
      </c>
      <c r="H159" s="2" t="inlineStr">
        <is>
          <t>Sprint 3</t>
        </is>
      </c>
      <c r="I159" s="3" t="n">
        <v>46326</v>
      </c>
      <c r="J159" s="3" t="n">
        <v>46339</v>
      </c>
      <c r="K159" s="2" t="inlineStr">
        <is>
          <t>High</t>
        </is>
      </c>
      <c r="L159" s="2" t="inlineStr">
        <is>
          <t>subtask,PH-03,orig-104</t>
        </is>
      </c>
      <c r="M159" s="2" t="inlineStr">
        <is>
          <t>ORIG-104</t>
        </is>
      </c>
      <c r="N159" s="2" t="inlineStr">
        <is>
          <t>CIN-T-013, CIN-T-014, CIN-T-003</t>
        </is>
      </c>
      <c r="O159" s="2" t="inlineStr">
        <is>
          <t>PH-03</t>
        </is>
      </c>
      <c r="P159" s="2" t="inlineStr">
        <is>
          <t>CIN-T-019</t>
        </is>
      </c>
    </row>
    <row r="160">
      <c r="A160" s="2" t="inlineStr">
        <is>
          <t>Sub-task</t>
        </is>
      </c>
      <c r="B160" s="2" t="inlineStr">
        <is>
          <t>CIN-SUB-105</t>
        </is>
      </c>
      <c r="C160" s="2" t="inlineStr">
        <is>
          <t>CIN-T-019</t>
        </is>
      </c>
      <c r="D160" s="2" t="inlineStr">
        <is>
          <t>Password Hashing</t>
        </is>
      </c>
      <c r="E160" s="2" t="inlineStr">
        <is>
          <t>Original Row ID: ORIG-105. Original task: Password Hashing. Original description: Không lưu password dạng plaintext.</t>
        </is>
      </c>
      <c r="F160" s="2" t="inlineStr">
        <is>
          <t>24120244</t>
        </is>
      </c>
      <c r="G160" s="2" t="inlineStr">
        <is>
          <t>Phan Van Viet</t>
        </is>
      </c>
      <c r="H160" s="2" t="inlineStr">
        <is>
          <t>Sprint 3</t>
        </is>
      </c>
      <c r="I160" s="3" t="n">
        <v>46326</v>
      </c>
      <c r="J160" s="3" t="n">
        <v>46339</v>
      </c>
      <c r="K160" s="2" t="inlineStr">
        <is>
          <t>High</t>
        </is>
      </c>
      <c r="L160" s="2" t="inlineStr">
        <is>
          <t>subtask,PH-03,orig-105</t>
        </is>
      </c>
      <c r="M160" s="2" t="inlineStr">
        <is>
          <t>ORIG-105</t>
        </is>
      </c>
      <c r="N160" s="2" t="inlineStr">
        <is>
          <t>CIN-T-013, CIN-T-014, CIN-T-003</t>
        </is>
      </c>
      <c r="O160" s="2" t="inlineStr">
        <is>
          <t>PH-03</t>
        </is>
      </c>
      <c r="P160" s="2" t="inlineStr">
        <is>
          <t>CIN-T-019</t>
        </is>
      </c>
    </row>
    <row r="161">
      <c r="A161" s="2" t="inlineStr">
        <is>
          <t>Sub-task</t>
        </is>
      </c>
      <c r="B161" s="2" t="inlineStr">
        <is>
          <t>CIN-SUB-106</t>
        </is>
      </c>
      <c r="C161" s="2" t="inlineStr">
        <is>
          <t>CIN-T-019</t>
        </is>
      </c>
      <c r="D161" s="2" t="inlineStr">
        <is>
          <t>JWT / Authentication</t>
        </is>
      </c>
      <c r="E161" s="2" t="inlineStr">
        <is>
          <t>Original Row ID: ORIG-106. Original task: JWT / Authentication. Original description: Xác thực request.</t>
        </is>
      </c>
      <c r="F161" s="2" t="inlineStr">
        <is>
          <t>24120098</t>
        </is>
      </c>
      <c r="G161" s="2" t="inlineStr">
        <is>
          <t>Nguyen Quoc Nam</t>
        </is>
      </c>
      <c r="H161" s="2" t="inlineStr">
        <is>
          <t>Sprint 3</t>
        </is>
      </c>
      <c r="I161" s="3" t="n">
        <v>46326</v>
      </c>
      <c r="J161" s="3" t="n">
        <v>46339</v>
      </c>
      <c r="K161" s="2" t="inlineStr">
        <is>
          <t>High</t>
        </is>
      </c>
      <c r="L161" s="2" t="inlineStr">
        <is>
          <t>subtask,PH-03,orig-106</t>
        </is>
      </c>
      <c r="M161" s="2" t="inlineStr">
        <is>
          <t>ORIG-106</t>
        </is>
      </c>
      <c r="N161" s="2" t="inlineStr">
        <is>
          <t>CIN-T-013, CIN-T-014, CIN-T-003</t>
        </is>
      </c>
      <c r="O161" s="2" t="inlineStr">
        <is>
          <t>PH-03</t>
        </is>
      </c>
      <c r="P161" s="2" t="inlineStr">
        <is>
          <t>CIN-T-019</t>
        </is>
      </c>
    </row>
    <row r="162">
      <c r="A162" s="2" t="inlineStr">
        <is>
          <t>Sub-task</t>
        </is>
      </c>
      <c r="B162" s="2" t="inlineStr">
        <is>
          <t>CIN-SUB-107</t>
        </is>
      </c>
      <c r="C162" s="2" t="inlineStr">
        <is>
          <t>CIN-T-019</t>
        </is>
      </c>
      <c r="D162" s="2" t="inlineStr">
        <is>
          <t>Token Expiration</t>
        </is>
      </c>
      <c r="E162" s="2" t="inlineStr">
        <is>
          <t>Original Row ID: ORIG-107. Original task: Token Expiration. Original description: Quản lý thời hạn token.</t>
        </is>
      </c>
      <c r="F162" s="2" t="inlineStr">
        <is>
          <t>24120235</t>
        </is>
      </c>
      <c r="G162" s="2" t="inlineStr">
        <is>
          <t>Huynh Thanh Tu</t>
        </is>
      </c>
      <c r="H162" s="2" t="inlineStr">
        <is>
          <t>Sprint 3</t>
        </is>
      </c>
      <c r="I162" s="3" t="n">
        <v>46326</v>
      </c>
      <c r="J162" s="3" t="n">
        <v>46339</v>
      </c>
      <c r="K162" s="2" t="inlineStr">
        <is>
          <t>High</t>
        </is>
      </c>
      <c r="L162" s="2" t="inlineStr">
        <is>
          <t>subtask,PH-03,orig-107</t>
        </is>
      </c>
      <c r="M162" s="2" t="inlineStr">
        <is>
          <t>ORIG-107</t>
        </is>
      </c>
      <c r="N162" s="2" t="inlineStr">
        <is>
          <t>CIN-T-013, CIN-T-014, CIN-T-003</t>
        </is>
      </c>
      <c r="O162" s="2" t="inlineStr">
        <is>
          <t>PH-03</t>
        </is>
      </c>
      <c r="P162" s="2" t="inlineStr">
        <is>
          <t>CIN-T-019</t>
        </is>
      </c>
    </row>
    <row r="163">
      <c r="A163" s="2" t="inlineStr">
        <is>
          <t>Sub-task</t>
        </is>
      </c>
      <c r="B163" s="2" t="inlineStr">
        <is>
          <t>CIN-SUB-108</t>
        </is>
      </c>
      <c r="C163" s="2" t="inlineStr">
        <is>
          <t>CIN-T-019</t>
        </is>
      </c>
      <c r="D163" s="2" t="inlineStr">
        <is>
          <t>Role</t>
        </is>
      </c>
      <c r="E163" s="2" t="inlineStr">
        <is>
          <t>Original Row ID: ORIG-108. Original task: Role. Original description: Admin / Manager / Staff / Customer.</t>
        </is>
      </c>
      <c r="F163" s="2" t="inlineStr">
        <is>
          <t>24120271</t>
        </is>
      </c>
      <c r="G163" s="2" t="inlineStr">
        <is>
          <t>Nguyen Trung Chinh</t>
        </is>
      </c>
      <c r="H163" s="2" t="inlineStr">
        <is>
          <t>Sprint 3</t>
        </is>
      </c>
      <c r="I163" s="3" t="n">
        <v>46326</v>
      </c>
      <c r="J163" s="3" t="n">
        <v>46339</v>
      </c>
      <c r="K163" s="2" t="inlineStr">
        <is>
          <t>High</t>
        </is>
      </c>
      <c r="L163" s="2" t="inlineStr">
        <is>
          <t>subtask,PH-03,orig-108</t>
        </is>
      </c>
      <c r="M163" s="2" t="inlineStr">
        <is>
          <t>ORIG-108</t>
        </is>
      </c>
      <c r="N163" s="2" t="inlineStr">
        <is>
          <t>CIN-T-013, CIN-T-014, CIN-T-003</t>
        </is>
      </c>
      <c r="O163" s="2" t="inlineStr">
        <is>
          <t>PH-03</t>
        </is>
      </c>
      <c r="P163" s="2" t="inlineStr">
        <is>
          <t>CIN-T-019</t>
        </is>
      </c>
    </row>
    <row r="164">
      <c r="A164" s="2" t="inlineStr">
        <is>
          <t>Sub-task</t>
        </is>
      </c>
      <c r="B164" s="2" t="inlineStr">
        <is>
          <t>CIN-SUB-109</t>
        </is>
      </c>
      <c r="C164" s="2" t="inlineStr">
        <is>
          <t>CIN-T-019</t>
        </is>
      </c>
      <c r="D164" s="2" t="inlineStr">
        <is>
          <t>Authorization</t>
        </is>
      </c>
      <c r="E164" s="2" t="inlineStr">
        <is>
          <t>Original Row ID: ORIG-109. Original task: Authorization. Original description: Giới hạn API theo Role.</t>
        </is>
      </c>
      <c r="F164" s="2" t="inlineStr">
        <is>
          <t>24120255</t>
        </is>
      </c>
      <c r="G164" s="2" t="inlineStr">
        <is>
          <t>Tran Thien An</t>
        </is>
      </c>
      <c r="H164" s="2" t="inlineStr">
        <is>
          <t>Sprint 3</t>
        </is>
      </c>
      <c r="I164" s="3" t="n">
        <v>46326</v>
      </c>
      <c r="J164" s="3" t="n">
        <v>46339</v>
      </c>
      <c r="K164" s="2" t="inlineStr">
        <is>
          <t>High</t>
        </is>
      </c>
      <c r="L164" s="2" t="inlineStr">
        <is>
          <t>subtask,PH-03,orig-109</t>
        </is>
      </c>
      <c r="M164" s="2" t="inlineStr">
        <is>
          <t>ORIG-109</t>
        </is>
      </c>
      <c r="N164" s="2" t="inlineStr">
        <is>
          <t>CIN-T-013, CIN-T-014, CIN-T-003</t>
        </is>
      </c>
      <c r="O164" s="2" t="inlineStr">
        <is>
          <t>PH-03</t>
        </is>
      </c>
      <c r="P164" s="2" t="inlineStr">
        <is>
          <t>CIN-T-019</t>
        </is>
      </c>
    </row>
    <row r="165">
      <c r="A165" s="2" t="inlineStr">
        <is>
          <t>Sub-task</t>
        </is>
      </c>
      <c r="B165" s="2" t="inlineStr">
        <is>
          <t>CIN-SUB-110</t>
        </is>
      </c>
      <c r="C165" s="2" t="inlineStr">
        <is>
          <t>CIN-T-019</t>
        </is>
      </c>
      <c r="D165" s="2" t="inlineStr">
        <is>
          <t>User Profile</t>
        </is>
      </c>
      <c r="E165" s="2" t="inlineStr">
        <is>
          <t>Original Row ID: ORIG-110. Original task: User Profile. Original description: Xem / cập nhật thông tin cá nhân.</t>
        </is>
      </c>
      <c r="F165" s="2" t="inlineStr">
        <is>
          <t>24120244</t>
        </is>
      </c>
      <c r="G165" s="2" t="inlineStr">
        <is>
          <t>Phan Van Viet</t>
        </is>
      </c>
      <c r="H165" s="2" t="inlineStr">
        <is>
          <t>Sprint 3</t>
        </is>
      </c>
      <c r="I165" s="3" t="n">
        <v>46326</v>
      </c>
      <c r="J165" s="3" t="n">
        <v>46339</v>
      </c>
      <c r="K165" s="2" t="inlineStr">
        <is>
          <t>High</t>
        </is>
      </c>
      <c r="L165" s="2" t="inlineStr">
        <is>
          <t>subtask,PH-03,orig-110</t>
        </is>
      </c>
      <c r="M165" s="2" t="inlineStr">
        <is>
          <t>ORIG-110</t>
        </is>
      </c>
      <c r="N165" s="2" t="inlineStr">
        <is>
          <t>CIN-T-013, CIN-T-014, CIN-T-003</t>
        </is>
      </c>
      <c r="O165" s="2" t="inlineStr">
        <is>
          <t>PH-03</t>
        </is>
      </c>
      <c r="P165" s="2" t="inlineStr">
        <is>
          <t>CIN-T-019</t>
        </is>
      </c>
    </row>
    <row r="166">
      <c r="A166" s="2" t="inlineStr">
        <is>
          <t>Sub-task</t>
        </is>
      </c>
      <c r="B166" s="2" t="inlineStr">
        <is>
          <t>CIN-SUB-111</t>
        </is>
      </c>
      <c r="C166" s="2" t="inlineStr">
        <is>
          <t>CIN-T-019</t>
        </is>
      </c>
      <c r="D166" s="2" t="inlineStr">
        <is>
          <t>Change Password</t>
        </is>
      </c>
      <c r="E166" s="2" t="inlineStr">
        <is>
          <t>Original Row ID: ORIG-111. Original task: Change Password. Original description: Đổi mật khẩu.</t>
        </is>
      </c>
      <c r="F166" s="2" t="inlineStr">
        <is>
          <t>24120235</t>
        </is>
      </c>
      <c r="G166" s="2" t="inlineStr">
        <is>
          <t>Huynh Thanh Tu</t>
        </is>
      </c>
      <c r="H166" s="2" t="inlineStr">
        <is>
          <t>Sprint 3</t>
        </is>
      </c>
      <c r="I166" s="3" t="n">
        <v>46326</v>
      </c>
      <c r="J166" s="3" t="n">
        <v>46339</v>
      </c>
      <c r="K166" s="2" t="inlineStr">
        <is>
          <t>High</t>
        </is>
      </c>
      <c r="L166" s="2" t="inlineStr">
        <is>
          <t>subtask,PH-03,orig-111</t>
        </is>
      </c>
      <c r="M166" s="2" t="inlineStr">
        <is>
          <t>ORIG-111</t>
        </is>
      </c>
      <c r="N166" s="2" t="inlineStr">
        <is>
          <t>CIN-T-013, CIN-T-014, CIN-T-003</t>
        </is>
      </c>
      <c r="O166" s="2" t="inlineStr">
        <is>
          <t>PH-03</t>
        </is>
      </c>
      <c r="P166" s="2" t="inlineStr">
        <is>
          <t>CIN-T-019</t>
        </is>
      </c>
    </row>
    <row r="167">
      <c r="A167" s="2" t="inlineStr">
        <is>
          <t>Sub-task</t>
        </is>
      </c>
      <c r="B167" s="2" t="inlineStr">
        <is>
          <t>CIN-SUB-112</t>
        </is>
      </c>
      <c r="C167" s="2" t="inlineStr">
        <is>
          <t>CIN-T-020</t>
        </is>
      </c>
      <c r="D167" s="2" t="inlineStr">
        <is>
          <t>Quản lý Movie</t>
        </is>
      </c>
      <c r="E167" s="2" t="inlineStr">
        <is>
          <t>Original Row ID: ORIG-112. Original task: Quản lý Movie. Original description: Thêm / sửa / xóa / xem phim.</t>
        </is>
      </c>
      <c r="F167" s="2" t="inlineStr">
        <is>
          <t>24120271</t>
        </is>
      </c>
      <c r="G167" s="2" t="inlineStr">
        <is>
          <t>Nguyen Trung Chinh</t>
        </is>
      </c>
      <c r="H167" s="2" t="inlineStr">
        <is>
          <t>Sprint 3</t>
        </is>
      </c>
      <c r="I167" s="3" t="n">
        <v>46326</v>
      </c>
      <c r="J167" s="3" t="n">
        <v>46339</v>
      </c>
      <c r="K167" s="2" t="inlineStr">
        <is>
          <t>High</t>
        </is>
      </c>
      <c r="L167" s="2" t="inlineStr">
        <is>
          <t>subtask,PH-03,orig-112</t>
        </is>
      </c>
      <c r="M167" s="2" t="inlineStr">
        <is>
          <t>ORIG-112</t>
        </is>
      </c>
      <c r="N167" s="2" t="inlineStr">
        <is>
          <t>CIN-T-015, CIN-T-019</t>
        </is>
      </c>
      <c r="O167" s="2" t="inlineStr">
        <is>
          <t>PH-03</t>
        </is>
      </c>
      <c r="P167" s="2" t="inlineStr">
        <is>
          <t>CIN-T-020</t>
        </is>
      </c>
    </row>
    <row r="168">
      <c r="A168" s="2" t="inlineStr">
        <is>
          <t>Sub-task</t>
        </is>
      </c>
      <c r="B168" s="2" t="inlineStr">
        <is>
          <t>CIN-SUB-113</t>
        </is>
      </c>
      <c r="C168" s="2" t="inlineStr">
        <is>
          <t>CIN-T-020</t>
        </is>
      </c>
      <c r="D168" s="2" t="inlineStr">
        <is>
          <t>Quản lý Genre</t>
        </is>
      </c>
      <c r="E168" s="2" t="inlineStr">
        <is>
          <t>Original Row ID: ORIG-113. Original task: Quản lý Genre. Original description: CRUD thể loại.</t>
        </is>
      </c>
      <c r="F168" s="2" t="inlineStr">
        <is>
          <t>24120098</t>
        </is>
      </c>
      <c r="G168" s="2" t="inlineStr">
        <is>
          <t>Nguyen Quoc Nam</t>
        </is>
      </c>
      <c r="H168" s="2" t="inlineStr">
        <is>
          <t>Sprint 3</t>
        </is>
      </c>
      <c r="I168" s="3" t="n">
        <v>46326</v>
      </c>
      <c r="J168" s="3" t="n">
        <v>46339</v>
      </c>
      <c r="K168" s="2" t="inlineStr">
        <is>
          <t>High</t>
        </is>
      </c>
      <c r="L168" s="2" t="inlineStr">
        <is>
          <t>subtask,PH-03,orig-113</t>
        </is>
      </c>
      <c r="M168" s="2" t="inlineStr">
        <is>
          <t>ORIG-113</t>
        </is>
      </c>
      <c r="N168" s="2" t="inlineStr">
        <is>
          <t>CIN-T-015, CIN-T-019</t>
        </is>
      </c>
      <c r="O168" s="2" t="inlineStr">
        <is>
          <t>PH-03</t>
        </is>
      </c>
      <c r="P168" s="2" t="inlineStr">
        <is>
          <t>CIN-T-020</t>
        </is>
      </c>
    </row>
    <row r="169">
      <c r="A169" s="2" t="inlineStr">
        <is>
          <t>Sub-task</t>
        </is>
      </c>
      <c r="B169" s="2" t="inlineStr">
        <is>
          <t>CIN-SUB-114</t>
        </is>
      </c>
      <c r="C169" s="2" t="inlineStr">
        <is>
          <t>CIN-T-020</t>
        </is>
      </c>
      <c r="D169" s="2" t="inlineStr">
        <is>
          <t>Quản lý Cinema Room</t>
        </is>
      </c>
      <c r="E169" s="2" t="inlineStr">
        <is>
          <t>Original Row ID: ORIG-114. Original task: Quản lý Cinema Room. Original description: CRUD phòng.</t>
        </is>
      </c>
      <c r="F169" s="2" t="inlineStr">
        <is>
          <t>24120244</t>
        </is>
      </c>
      <c r="G169" s="2" t="inlineStr">
        <is>
          <t>Phan Van Viet</t>
        </is>
      </c>
      <c r="H169" s="2" t="inlineStr">
        <is>
          <t>Sprint 3</t>
        </is>
      </c>
      <c r="I169" s="3" t="n">
        <v>46326</v>
      </c>
      <c r="J169" s="3" t="n">
        <v>46339</v>
      </c>
      <c r="K169" s="2" t="inlineStr">
        <is>
          <t>High</t>
        </is>
      </c>
      <c r="L169" s="2" t="inlineStr">
        <is>
          <t>subtask,PH-03,orig-114</t>
        </is>
      </c>
      <c r="M169" s="2" t="inlineStr">
        <is>
          <t>ORIG-114</t>
        </is>
      </c>
      <c r="N169" s="2" t="inlineStr">
        <is>
          <t>CIN-T-015, CIN-T-019</t>
        </is>
      </c>
      <c r="O169" s="2" t="inlineStr">
        <is>
          <t>PH-03</t>
        </is>
      </c>
      <c r="P169" s="2" t="inlineStr">
        <is>
          <t>CIN-T-020</t>
        </is>
      </c>
    </row>
    <row r="170">
      <c r="A170" s="2" t="inlineStr">
        <is>
          <t>Sub-task</t>
        </is>
      </c>
      <c r="B170" s="2" t="inlineStr">
        <is>
          <t>CIN-SUB-115</t>
        </is>
      </c>
      <c r="C170" s="2" t="inlineStr">
        <is>
          <t>CIN-T-020</t>
        </is>
      </c>
      <c r="D170" s="2" t="inlineStr">
        <is>
          <t>Quản lý Seat</t>
        </is>
      </c>
      <c r="E170" s="2" t="inlineStr">
        <is>
          <t>Original Row ID: ORIG-115. Original task: Quản lý Seat. Original description: Thiết lập sơ đồ ghế.</t>
        </is>
      </c>
      <c r="F170" s="2" t="inlineStr">
        <is>
          <t>24120255</t>
        </is>
      </c>
      <c r="G170" s="2" t="inlineStr">
        <is>
          <t>Tran Thien An</t>
        </is>
      </c>
      <c r="H170" s="2" t="inlineStr">
        <is>
          <t>Sprint 3</t>
        </is>
      </c>
      <c r="I170" s="3" t="n">
        <v>46326</v>
      </c>
      <c r="J170" s="3" t="n">
        <v>46339</v>
      </c>
      <c r="K170" s="2" t="inlineStr">
        <is>
          <t>High</t>
        </is>
      </c>
      <c r="L170" s="2" t="inlineStr">
        <is>
          <t>subtask,PH-03,orig-115</t>
        </is>
      </c>
      <c r="M170" s="2" t="inlineStr">
        <is>
          <t>ORIG-115</t>
        </is>
      </c>
      <c r="N170" s="2" t="inlineStr">
        <is>
          <t>CIN-T-015, CIN-T-019</t>
        </is>
      </c>
      <c r="O170" s="2" t="inlineStr">
        <is>
          <t>PH-03</t>
        </is>
      </c>
      <c r="P170" s="2" t="inlineStr">
        <is>
          <t>CIN-T-020</t>
        </is>
      </c>
    </row>
    <row r="171">
      <c r="A171" s="2" t="inlineStr">
        <is>
          <t>Sub-task</t>
        </is>
      </c>
      <c r="B171" s="2" t="inlineStr">
        <is>
          <t>CIN-SUB-116</t>
        </is>
      </c>
      <c r="C171" s="2" t="inlineStr">
        <is>
          <t>CIN-T-020</t>
        </is>
      </c>
      <c r="D171" s="2" t="inlineStr">
        <is>
          <t>Quản lý Seat Type</t>
        </is>
      </c>
      <c r="E171" s="2" t="inlineStr">
        <is>
          <t>Original Row ID: ORIG-116. Original task: Quản lý Seat Type. Original description: Standard / VIP / Couple,....</t>
        </is>
      </c>
      <c r="F171" s="2" t="inlineStr">
        <is>
          <t>24120235</t>
        </is>
      </c>
      <c r="G171" s="2" t="inlineStr">
        <is>
          <t>Huynh Thanh Tu</t>
        </is>
      </c>
      <c r="H171" s="2" t="inlineStr">
        <is>
          <t>Sprint 3</t>
        </is>
      </c>
      <c r="I171" s="3" t="n">
        <v>46326</v>
      </c>
      <c r="J171" s="3" t="n">
        <v>46339</v>
      </c>
      <c r="K171" s="2" t="inlineStr">
        <is>
          <t>High</t>
        </is>
      </c>
      <c r="L171" s="2" t="inlineStr">
        <is>
          <t>subtask,PH-03,orig-116</t>
        </is>
      </c>
      <c r="M171" s="2" t="inlineStr">
        <is>
          <t>ORIG-116</t>
        </is>
      </c>
      <c r="N171" s="2" t="inlineStr">
        <is>
          <t>CIN-T-015, CIN-T-019</t>
        </is>
      </c>
      <c r="O171" s="2" t="inlineStr">
        <is>
          <t>PH-03</t>
        </is>
      </c>
      <c r="P171" s="2" t="inlineStr">
        <is>
          <t>CIN-T-020</t>
        </is>
      </c>
    </row>
    <row r="172">
      <c r="A172" s="2" t="inlineStr">
        <is>
          <t>Sub-task</t>
        </is>
      </c>
      <c r="B172" s="2" t="inlineStr">
        <is>
          <t>CIN-SUB-117</t>
        </is>
      </c>
      <c r="C172" s="2" t="inlineStr">
        <is>
          <t>CIN-T-020</t>
        </is>
      </c>
      <c r="D172" s="2" t="inlineStr">
        <is>
          <t>Quản lý Ticket Type</t>
        </is>
      </c>
      <c r="E172" s="2" t="inlineStr">
        <is>
          <t>Original Row ID: ORIG-117. Original task: Quản lý Ticket Type. Original description: Adult / Child / Student,....</t>
        </is>
      </c>
      <c r="F172" s="2" t="inlineStr">
        <is>
          <t>24120271</t>
        </is>
      </c>
      <c r="G172" s="2" t="inlineStr">
        <is>
          <t>Nguyen Trung Chinh</t>
        </is>
      </c>
      <c r="H172" s="2" t="inlineStr">
        <is>
          <t>Sprint 3</t>
        </is>
      </c>
      <c r="I172" s="3" t="n">
        <v>46326</v>
      </c>
      <c r="J172" s="3" t="n">
        <v>46339</v>
      </c>
      <c r="K172" s="2" t="inlineStr">
        <is>
          <t>High</t>
        </is>
      </c>
      <c r="L172" s="2" t="inlineStr">
        <is>
          <t>subtask,PH-03,orig-117</t>
        </is>
      </c>
      <c r="M172" s="2" t="inlineStr">
        <is>
          <t>ORIG-117</t>
        </is>
      </c>
      <c r="N172" s="2" t="inlineStr">
        <is>
          <t>CIN-T-015, CIN-T-019</t>
        </is>
      </c>
      <c r="O172" s="2" t="inlineStr">
        <is>
          <t>PH-03</t>
        </is>
      </c>
      <c r="P172" s="2" t="inlineStr">
        <is>
          <t>CIN-T-020</t>
        </is>
      </c>
    </row>
    <row r="173">
      <c r="A173" s="2" t="inlineStr">
        <is>
          <t>Sub-task</t>
        </is>
      </c>
      <c r="B173" s="2" t="inlineStr">
        <is>
          <t>CIN-SUB-118</t>
        </is>
      </c>
      <c r="C173" s="2" t="inlineStr">
        <is>
          <t>CIN-T-021</t>
        </is>
      </c>
      <c r="D173" s="2" t="inlineStr">
        <is>
          <t>Tạo Showtime</t>
        </is>
      </c>
      <c r="E173" s="2" t="inlineStr">
        <is>
          <t>Original Row ID: ORIG-118. Original task: Tạo Showtime. Original description: Tạo suất chiếu cho phim và phòng.</t>
        </is>
      </c>
      <c r="F173" s="2" t="inlineStr">
        <is>
          <t>24120098</t>
        </is>
      </c>
      <c r="G173" s="2" t="inlineStr">
        <is>
          <t>Nguyen Quoc Nam</t>
        </is>
      </c>
      <c r="H173" s="2" t="inlineStr">
        <is>
          <t>Sprint 3</t>
        </is>
      </c>
      <c r="I173" s="3" t="n">
        <v>46326</v>
      </c>
      <c r="J173" s="3" t="n">
        <v>46339</v>
      </c>
      <c r="K173" s="2" t="inlineStr">
        <is>
          <t>High</t>
        </is>
      </c>
      <c r="L173" s="2" t="inlineStr">
        <is>
          <t>subtask,PH-03,orig-118</t>
        </is>
      </c>
      <c r="M173" s="2" t="inlineStr">
        <is>
          <t>ORIG-118</t>
        </is>
      </c>
      <c r="N173" s="2" t="inlineStr">
        <is>
          <t>CIN-T-020</t>
        </is>
      </c>
      <c r="O173" s="2" t="inlineStr">
        <is>
          <t>PH-03</t>
        </is>
      </c>
      <c r="P173" s="2" t="inlineStr">
        <is>
          <t>CIN-T-021</t>
        </is>
      </c>
    </row>
    <row r="174">
      <c r="A174" s="2" t="inlineStr">
        <is>
          <t>Sub-task</t>
        </is>
      </c>
      <c r="B174" s="2" t="inlineStr">
        <is>
          <t>CIN-SUB-119</t>
        </is>
      </c>
      <c r="C174" s="2" t="inlineStr">
        <is>
          <t>CIN-T-021</t>
        </is>
      </c>
      <c r="D174" s="2" t="inlineStr">
        <is>
          <t>Kiểm tra thời gian phim</t>
        </is>
      </c>
      <c r="E174" s="2" t="inlineStr">
        <is>
          <t>Original Row ID: ORIG-119. Original task: Kiểm tra thời gian phim. Original description: Không tạo suất chiếu không hợp lệ.</t>
        </is>
      </c>
      <c r="F174" s="2" t="inlineStr">
        <is>
          <t>24120244</t>
        </is>
      </c>
      <c r="G174" s="2" t="inlineStr">
        <is>
          <t>Phan Van Viet</t>
        </is>
      </c>
      <c r="H174" s="2" t="inlineStr">
        <is>
          <t>Sprint 3</t>
        </is>
      </c>
      <c r="I174" s="3" t="n">
        <v>46326</v>
      </c>
      <c r="J174" s="3" t="n">
        <v>46339</v>
      </c>
      <c r="K174" s="2" t="inlineStr">
        <is>
          <t>High</t>
        </is>
      </c>
      <c r="L174" s="2" t="inlineStr">
        <is>
          <t>subtask,PH-03,orig-119</t>
        </is>
      </c>
      <c r="M174" s="2" t="inlineStr">
        <is>
          <t>ORIG-119</t>
        </is>
      </c>
      <c r="N174" s="2" t="inlineStr">
        <is>
          <t>CIN-T-020</t>
        </is>
      </c>
      <c r="O174" s="2" t="inlineStr">
        <is>
          <t>PH-03</t>
        </is>
      </c>
      <c r="P174" s="2" t="inlineStr">
        <is>
          <t>CIN-T-021</t>
        </is>
      </c>
    </row>
    <row r="175">
      <c r="A175" s="2" t="inlineStr">
        <is>
          <t>Sub-task</t>
        </is>
      </c>
      <c r="B175" s="2" t="inlineStr">
        <is>
          <t>CIN-SUB-120</t>
        </is>
      </c>
      <c r="C175" s="2" t="inlineStr">
        <is>
          <t>CIN-T-021</t>
        </is>
      </c>
      <c r="D175" s="2" t="inlineStr">
        <is>
          <t>Kiểm tra trùng lịch</t>
        </is>
      </c>
      <c r="E175" s="2" t="inlineStr">
        <is>
          <t>Original Row ID: ORIG-120. Original task: Kiểm tra trùng lịch. Original description: Không cho phép phòng có suất chiếu chồng nhau.</t>
        </is>
      </c>
      <c r="F175" s="2" t="inlineStr">
        <is>
          <t>24120255</t>
        </is>
      </c>
      <c r="G175" s="2" t="inlineStr">
        <is>
          <t>Tran Thien An</t>
        </is>
      </c>
      <c r="H175" s="2" t="inlineStr">
        <is>
          <t>Sprint 3</t>
        </is>
      </c>
      <c r="I175" s="3" t="n">
        <v>46326</v>
      </c>
      <c r="J175" s="3" t="n">
        <v>46339</v>
      </c>
      <c r="K175" s="2" t="inlineStr">
        <is>
          <t>High</t>
        </is>
      </c>
      <c r="L175" s="2" t="inlineStr">
        <is>
          <t>subtask,PH-03,orig-120</t>
        </is>
      </c>
      <c r="M175" s="2" t="inlineStr">
        <is>
          <t>ORIG-120</t>
        </is>
      </c>
      <c r="N175" s="2" t="inlineStr">
        <is>
          <t>CIN-T-020</t>
        </is>
      </c>
      <c r="O175" s="2" t="inlineStr">
        <is>
          <t>PH-03</t>
        </is>
      </c>
      <c r="P175" s="2" t="inlineStr">
        <is>
          <t>CIN-T-021</t>
        </is>
      </c>
    </row>
    <row r="176">
      <c r="A176" s="2" t="inlineStr">
        <is>
          <t>Sub-task</t>
        </is>
      </c>
      <c r="B176" s="2" t="inlineStr">
        <is>
          <t>CIN-SUB-121</t>
        </is>
      </c>
      <c r="C176" s="2" t="inlineStr">
        <is>
          <t>CIN-T-021</t>
        </is>
      </c>
      <c r="D176" s="2" t="inlineStr">
        <is>
          <t>Quản lý trạng thái Showtime</t>
        </is>
      </c>
      <c r="E176" s="2" t="inlineStr">
        <is>
          <t>Original Row ID: ORIG-121. Original task: Quản lý trạng thái Showtime. Original description: Scheduled / Ongoing / Finished / Cancelled.</t>
        </is>
      </c>
      <c r="F176" s="2" t="inlineStr">
        <is>
          <t>24120235</t>
        </is>
      </c>
      <c r="G176" s="2" t="inlineStr">
        <is>
          <t>Huynh Thanh Tu</t>
        </is>
      </c>
      <c r="H176" s="2" t="inlineStr">
        <is>
          <t>Sprint 3</t>
        </is>
      </c>
      <c r="I176" s="3" t="n">
        <v>46326</v>
      </c>
      <c r="J176" s="3" t="n">
        <v>46339</v>
      </c>
      <c r="K176" s="2" t="inlineStr">
        <is>
          <t>High</t>
        </is>
      </c>
      <c r="L176" s="2" t="inlineStr">
        <is>
          <t>subtask,PH-03,orig-121</t>
        </is>
      </c>
      <c r="M176" s="2" t="inlineStr">
        <is>
          <t>ORIG-121</t>
        </is>
      </c>
      <c r="N176" s="2" t="inlineStr">
        <is>
          <t>CIN-T-020</t>
        </is>
      </c>
      <c r="O176" s="2" t="inlineStr">
        <is>
          <t>PH-03</t>
        </is>
      </c>
      <c r="P176" s="2" t="inlineStr">
        <is>
          <t>CIN-T-021</t>
        </is>
      </c>
    </row>
    <row r="177">
      <c r="A177" s="2" t="inlineStr">
        <is>
          <t>Sub-task</t>
        </is>
      </c>
      <c r="B177" s="2" t="inlineStr">
        <is>
          <t>CIN-SUB-122</t>
        </is>
      </c>
      <c r="C177" s="2" t="inlineStr">
        <is>
          <t>CIN-T-021</t>
        </is>
      </c>
      <c r="D177" s="2" t="inlineStr">
        <is>
          <t>Quản lý lịch chiếu</t>
        </is>
      </c>
      <c r="E177" s="2" t="inlineStr">
        <is>
          <t>Original Row ID: ORIG-122. Original task: Quản lý lịch chiếu. Original description: Hiển thị theo phim / ngày / phòng.</t>
        </is>
      </c>
      <c r="F177" s="2" t="inlineStr">
        <is>
          <t>24120098</t>
        </is>
      </c>
      <c r="G177" s="2" t="inlineStr">
        <is>
          <t>Nguyen Quoc Nam</t>
        </is>
      </c>
      <c r="H177" s="2" t="inlineStr">
        <is>
          <t>Sprint 3</t>
        </is>
      </c>
      <c r="I177" s="3" t="n">
        <v>46326</v>
      </c>
      <c r="J177" s="3" t="n">
        <v>46339</v>
      </c>
      <c r="K177" s="2" t="inlineStr">
        <is>
          <t>High</t>
        </is>
      </c>
      <c r="L177" s="2" t="inlineStr">
        <is>
          <t>subtask,PH-03,orig-122</t>
        </is>
      </c>
      <c r="M177" s="2" t="inlineStr">
        <is>
          <t>ORIG-122</t>
        </is>
      </c>
      <c r="N177" s="2" t="inlineStr">
        <is>
          <t>CIN-T-020</t>
        </is>
      </c>
      <c r="O177" s="2" t="inlineStr">
        <is>
          <t>PH-03</t>
        </is>
      </c>
      <c r="P177" s="2" t="inlineStr">
        <is>
          <t>CIN-T-021</t>
        </is>
      </c>
    </row>
    <row r="178">
      <c r="A178" s="2" t="inlineStr">
        <is>
          <t>Sub-task</t>
        </is>
      </c>
      <c r="B178" s="2" t="inlineStr">
        <is>
          <t>CIN-SUB-123</t>
        </is>
      </c>
      <c r="C178" s="2" t="inlineStr">
        <is>
          <t>CIN-T-022</t>
        </is>
      </c>
      <c r="D178" s="2" t="inlineStr">
        <is>
          <t>Chọn ghế</t>
        </is>
      </c>
      <c r="E178" s="2" t="inlineStr">
        <is>
          <t>Original Row ID: ORIG-123. Original task: Chọn ghế. Original description: Hiển thị ghế theo Showtime.</t>
        </is>
      </c>
      <c r="F178" s="2" t="inlineStr">
        <is>
          <t>24120098</t>
        </is>
      </c>
      <c r="G178" s="2" t="inlineStr">
        <is>
          <t>Nguyen Quoc Nam</t>
        </is>
      </c>
      <c r="H178" s="2" t="inlineStr">
        <is>
          <t>Sprint 4</t>
        </is>
      </c>
      <c r="I178" s="3" t="n">
        <v>46340</v>
      </c>
      <c r="J178" s="3" t="n">
        <v>46353</v>
      </c>
      <c r="K178" s="2" t="inlineStr">
        <is>
          <t>High</t>
        </is>
      </c>
      <c r="L178" s="2" t="inlineStr">
        <is>
          <t>subtask,PH-03,orig-123</t>
        </is>
      </c>
      <c r="M178" s="2" t="inlineStr">
        <is>
          <t>ORIG-123</t>
        </is>
      </c>
      <c r="N178" s="2" t="inlineStr">
        <is>
          <t>CIN-T-021, CIN-T-019, CIN-T-014</t>
        </is>
      </c>
      <c r="O178" s="2" t="inlineStr">
        <is>
          <t>PH-03</t>
        </is>
      </c>
      <c r="P178" s="2" t="inlineStr">
        <is>
          <t>CIN-T-022</t>
        </is>
      </c>
    </row>
    <row r="179">
      <c r="A179" s="2" t="inlineStr">
        <is>
          <t>Sub-task</t>
        </is>
      </c>
      <c r="B179" s="2" t="inlineStr">
        <is>
          <t>CIN-SUB-124</t>
        </is>
      </c>
      <c r="C179" s="2" t="inlineStr">
        <is>
          <t>CIN-T-022</t>
        </is>
      </c>
      <c r="D179" s="2" t="inlineStr">
        <is>
          <t>Seat Availability</t>
        </is>
      </c>
      <c r="E179" s="2" t="inlineStr">
        <is>
          <t>Original Row ID: ORIG-124. Original task: Seat Availability. Original description: Available / Held / Sold / Unavailable.</t>
        </is>
      </c>
      <c r="F179" s="2" t="inlineStr">
        <is>
          <t>24120098</t>
        </is>
      </c>
      <c r="G179" s="2" t="inlineStr">
        <is>
          <t>Nguyen Quoc Nam</t>
        </is>
      </c>
      <c r="H179" s="2" t="inlineStr">
        <is>
          <t>Sprint 4</t>
        </is>
      </c>
      <c r="I179" s="3" t="n">
        <v>46340</v>
      </c>
      <c r="J179" s="3" t="n">
        <v>46353</v>
      </c>
      <c r="K179" s="2" t="inlineStr">
        <is>
          <t>High</t>
        </is>
      </c>
      <c r="L179" s="2" t="inlineStr">
        <is>
          <t>subtask,PH-03,orig-124</t>
        </is>
      </c>
      <c r="M179" s="2" t="inlineStr">
        <is>
          <t>ORIG-124</t>
        </is>
      </c>
      <c r="N179" s="2" t="inlineStr">
        <is>
          <t>CIN-T-021, CIN-T-019, CIN-T-014</t>
        </is>
      </c>
      <c r="O179" s="2" t="inlineStr">
        <is>
          <t>PH-03</t>
        </is>
      </c>
      <c r="P179" s="2" t="inlineStr">
        <is>
          <t>CIN-T-022</t>
        </is>
      </c>
    </row>
    <row r="180">
      <c r="A180" s="2" t="inlineStr">
        <is>
          <t>Sub-task</t>
        </is>
      </c>
      <c r="B180" s="2" t="inlineStr">
        <is>
          <t>CIN-SUB-125</t>
        </is>
      </c>
      <c r="C180" s="2" t="inlineStr">
        <is>
          <t>CIN-T-022</t>
        </is>
      </c>
      <c r="D180" s="2" t="inlineStr">
        <is>
          <t>Giữ ghế</t>
        </is>
      </c>
      <c r="E180" s="2" t="inlineStr">
        <is>
          <t>Original Row ID: ORIG-125. Original task: Giữ ghế. Original description: Tạm giữ ghế trong thời gian thanh toán.</t>
        </is>
      </c>
      <c r="F180" s="2" t="inlineStr">
        <is>
          <t>24120271</t>
        </is>
      </c>
      <c r="G180" s="2" t="inlineStr">
        <is>
          <t>Nguyen Trung Chinh</t>
        </is>
      </c>
      <c r="H180" s="2" t="inlineStr">
        <is>
          <t>Sprint 4</t>
        </is>
      </c>
      <c r="I180" s="3" t="n">
        <v>46340</v>
      </c>
      <c r="J180" s="3" t="n">
        <v>46353</v>
      </c>
      <c r="K180" s="2" t="inlineStr">
        <is>
          <t>High</t>
        </is>
      </c>
      <c r="L180" s="2" t="inlineStr">
        <is>
          <t>subtask,PH-03,orig-125</t>
        </is>
      </c>
      <c r="M180" s="2" t="inlineStr">
        <is>
          <t>ORIG-125</t>
        </is>
      </c>
      <c r="N180" s="2" t="inlineStr">
        <is>
          <t>CIN-T-021, CIN-T-019, CIN-T-014</t>
        </is>
      </c>
      <c r="O180" s="2" t="inlineStr">
        <is>
          <t>PH-03</t>
        </is>
      </c>
      <c r="P180" s="2" t="inlineStr">
        <is>
          <t>CIN-T-022</t>
        </is>
      </c>
    </row>
    <row r="181">
      <c r="A181" s="2" t="inlineStr">
        <is>
          <t>Sub-task</t>
        </is>
      </c>
      <c r="B181" s="2" t="inlineStr">
        <is>
          <t>CIN-SUB-126</t>
        </is>
      </c>
      <c r="C181" s="2" t="inlineStr">
        <is>
          <t>CIN-T-022</t>
        </is>
      </c>
      <c r="D181" s="2" t="inlineStr">
        <is>
          <t>Tự động giải phóng ghế</t>
        </is>
      </c>
      <c r="E181" s="2" t="inlineStr">
        <is>
          <t>Original Row ID: ORIG-126. Original task: Tự động giải phóng ghế. Original description: Hết thời gian giữ mà chưa thanh toán.</t>
        </is>
      </c>
      <c r="F181" s="2" t="inlineStr">
        <is>
          <t>24120244</t>
        </is>
      </c>
      <c r="G181" s="2" t="inlineStr">
        <is>
          <t>Phan Van Viet</t>
        </is>
      </c>
      <c r="H181" s="2" t="inlineStr">
        <is>
          <t>Sprint 4</t>
        </is>
      </c>
      <c r="I181" s="3" t="n">
        <v>46340</v>
      </c>
      <c r="J181" s="3" t="n">
        <v>46353</v>
      </c>
      <c r="K181" s="2" t="inlineStr">
        <is>
          <t>High</t>
        </is>
      </c>
      <c r="L181" s="2" t="inlineStr">
        <is>
          <t>subtask,PH-03,orig-126</t>
        </is>
      </c>
      <c r="M181" s="2" t="inlineStr">
        <is>
          <t>ORIG-126</t>
        </is>
      </c>
      <c r="N181" s="2" t="inlineStr">
        <is>
          <t>CIN-T-021, CIN-T-019, CIN-T-014</t>
        </is>
      </c>
      <c r="O181" s="2" t="inlineStr">
        <is>
          <t>PH-03</t>
        </is>
      </c>
      <c r="P181" s="2" t="inlineStr">
        <is>
          <t>CIN-T-022</t>
        </is>
      </c>
    </row>
    <row r="182">
      <c r="A182" s="2" t="inlineStr">
        <is>
          <t>Sub-task</t>
        </is>
      </c>
      <c r="B182" s="2" t="inlineStr">
        <is>
          <t>CIN-SUB-127</t>
        </is>
      </c>
      <c r="C182" s="2" t="inlineStr">
        <is>
          <t>CIN-T-022</t>
        </is>
      </c>
      <c r="D182" s="2" t="inlineStr">
        <is>
          <t>Kiểm tra ghế khi Booking</t>
        </is>
      </c>
      <c r="E182" s="2" t="inlineStr">
        <is>
          <t>Original Row ID: ORIG-127. Original task: Kiểm tra ghế khi Booking. Original description: Không cho đặt ghế đã Sold / Held.</t>
        </is>
      </c>
      <c r="F182" s="2" t="inlineStr">
        <is>
          <t>24120255</t>
        </is>
      </c>
      <c r="G182" s="2" t="inlineStr">
        <is>
          <t>Tran Thien An</t>
        </is>
      </c>
      <c r="H182" s="2" t="inlineStr">
        <is>
          <t>Sprint 4</t>
        </is>
      </c>
      <c r="I182" s="3" t="n">
        <v>46340</v>
      </c>
      <c r="J182" s="3" t="n">
        <v>46353</v>
      </c>
      <c r="K182" s="2" t="inlineStr">
        <is>
          <t>High</t>
        </is>
      </c>
      <c r="L182" s="2" t="inlineStr">
        <is>
          <t>subtask,PH-03,orig-127</t>
        </is>
      </c>
      <c r="M182" s="2" t="inlineStr">
        <is>
          <t>ORIG-127</t>
        </is>
      </c>
      <c r="N182" s="2" t="inlineStr">
        <is>
          <t>CIN-T-021, CIN-T-019, CIN-T-014</t>
        </is>
      </c>
      <c r="O182" s="2" t="inlineStr">
        <is>
          <t>PH-03</t>
        </is>
      </c>
      <c r="P182" s="2" t="inlineStr">
        <is>
          <t>CIN-T-022</t>
        </is>
      </c>
    </row>
    <row r="183">
      <c r="A183" s="2" t="inlineStr">
        <is>
          <t>Sub-task</t>
        </is>
      </c>
      <c r="B183" s="2" t="inlineStr">
        <is>
          <t>CIN-SUB-128</t>
        </is>
      </c>
      <c r="C183" s="2" t="inlineStr">
        <is>
          <t>CIN-T-022</t>
        </is>
      </c>
      <c r="D183" s="2" t="inlineStr">
        <is>
          <t>Tính tiền vé</t>
        </is>
      </c>
      <c r="E183" s="2" t="inlineStr">
        <is>
          <t>Original Row ID: ORIG-128. Original task: Tính tiền vé. Original description: Giá vé × số lượng + các quy tắc liên quan.</t>
        </is>
      </c>
      <c r="F183" s="2" t="inlineStr">
        <is>
          <t>24120235</t>
        </is>
      </c>
      <c r="G183" s="2" t="inlineStr">
        <is>
          <t>Huynh Thanh Tu</t>
        </is>
      </c>
      <c r="H183" s="2" t="inlineStr">
        <is>
          <t>Sprint 4</t>
        </is>
      </c>
      <c r="I183" s="3" t="n">
        <v>46340</v>
      </c>
      <c r="J183" s="3" t="n">
        <v>46353</v>
      </c>
      <c r="K183" s="2" t="inlineStr">
        <is>
          <t>High</t>
        </is>
      </c>
      <c r="L183" s="2" t="inlineStr">
        <is>
          <t>subtask,PH-03,orig-128</t>
        </is>
      </c>
      <c r="M183" s="2" t="inlineStr">
        <is>
          <t>ORIG-128</t>
        </is>
      </c>
      <c r="N183" s="2" t="inlineStr">
        <is>
          <t>CIN-T-021, CIN-T-019, CIN-T-014</t>
        </is>
      </c>
      <c r="O183" s="2" t="inlineStr">
        <is>
          <t>PH-03</t>
        </is>
      </c>
      <c r="P183" s="2" t="inlineStr">
        <is>
          <t>CIN-T-022</t>
        </is>
      </c>
    </row>
    <row r="184">
      <c r="A184" s="2" t="inlineStr">
        <is>
          <t>Sub-task</t>
        </is>
      </c>
      <c r="B184" s="2" t="inlineStr">
        <is>
          <t>CIN-SUB-129</t>
        </is>
      </c>
      <c r="C184" s="2" t="inlineStr">
        <is>
          <t>CIN-T-022</t>
        </is>
      </c>
      <c r="D184" s="2" t="inlineStr">
        <is>
          <t>Tạo Booking</t>
        </is>
      </c>
      <c r="E184" s="2" t="inlineStr">
        <is>
          <t>Original Row ID: ORIG-129. Original task: Tạo Booking. Original description: Tạo đơn đặt vé.</t>
        </is>
      </c>
      <c r="F184" s="2" t="inlineStr">
        <is>
          <t>24120098</t>
        </is>
      </c>
      <c r="G184" s="2" t="inlineStr">
        <is>
          <t>Nguyen Quoc Nam</t>
        </is>
      </c>
      <c r="H184" s="2" t="inlineStr">
        <is>
          <t>Sprint 4</t>
        </is>
      </c>
      <c r="I184" s="3" t="n">
        <v>46340</v>
      </c>
      <c r="J184" s="3" t="n">
        <v>46353</v>
      </c>
      <c r="K184" s="2" t="inlineStr">
        <is>
          <t>High</t>
        </is>
      </c>
      <c r="L184" s="2" t="inlineStr">
        <is>
          <t>subtask,PH-03,orig-129</t>
        </is>
      </c>
      <c r="M184" s="2" t="inlineStr">
        <is>
          <t>ORIG-129</t>
        </is>
      </c>
      <c r="N184" s="2" t="inlineStr">
        <is>
          <t>CIN-T-021, CIN-T-019, CIN-T-014</t>
        </is>
      </c>
      <c r="O184" s="2" t="inlineStr">
        <is>
          <t>PH-03</t>
        </is>
      </c>
      <c r="P184" s="2" t="inlineStr">
        <is>
          <t>CIN-T-022</t>
        </is>
      </c>
    </row>
    <row r="185">
      <c r="A185" s="2" t="inlineStr">
        <is>
          <t>Sub-task</t>
        </is>
      </c>
      <c r="B185" s="2" t="inlineStr">
        <is>
          <t>CIN-SUB-130</t>
        </is>
      </c>
      <c r="C185" s="2" t="inlineStr">
        <is>
          <t>CIN-T-022</t>
        </is>
      </c>
      <c r="D185" s="2" t="inlineStr">
        <is>
          <t>Booking Detail</t>
        </is>
      </c>
      <c r="E185" s="2" t="inlineStr">
        <is>
          <t>Original Row ID: ORIG-130. Original task: Booking Detail. Original description: Lưu từng ghế / loại vé / giá.</t>
        </is>
      </c>
      <c r="F185" s="2" t="inlineStr">
        <is>
          <t>24120271</t>
        </is>
      </c>
      <c r="G185" s="2" t="inlineStr">
        <is>
          <t>Nguyen Trung Chinh</t>
        </is>
      </c>
      <c r="H185" s="2" t="inlineStr">
        <is>
          <t>Sprint 4</t>
        </is>
      </c>
      <c r="I185" s="3" t="n">
        <v>46340</v>
      </c>
      <c r="J185" s="3" t="n">
        <v>46353</v>
      </c>
      <c r="K185" s="2" t="inlineStr">
        <is>
          <t>High</t>
        </is>
      </c>
      <c r="L185" s="2" t="inlineStr">
        <is>
          <t>subtask,PH-03,orig-130</t>
        </is>
      </c>
      <c r="M185" s="2" t="inlineStr">
        <is>
          <t>ORIG-130</t>
        </is>
      </c>
      <c r="N185" s="2" t="inlineStr">
        <is>
          <t>CIN-T-021, CIN-T-019, CIN-T-014</t>
        </is>
      </c>
      <c r="O185" s="2" t="inlineStr">
        <is>
          <t>PH-03</t>
        </is>
      </c>
      <c r="P185" s="2" t="inlineStr">
        <is>
          <t>CIN-T-022</t>
        </is>
      </c>
    </row>
    <row r="186">
      <c r="A186" s="2" t="inlineStr">
        <is>
          <t>Sub-task</t>
        </is>
      </c>
      <c r="B186" s="2" t="inlineStr">
        <is>
          <t>CIN-SUB-131</t>
        </is>
      </c>
      <c r="C186" s="2" t="inlineStr">
        <is>
          <t>CIN-T-022</t>
        </is>
      </c>
      <c r="D186" s="2" t="inlineStr">
        <is>
          <t>Transaction Booking</t>
        </is>
      </c>
      <c r="E186" s="2" t="inlineStr">
        <is>
          <t>Original Row ID: ORIG-131. Original task: Transaction Booking. Original description: Đảm bảo Booking + Seat + Ticket nhất quán.</t>
        </is>
      </c>
      <c r="F186" s="2" t="inlineStr">
        <is>
          <t>24120244</t>
        </is>
      </c>
      <c r="G186" s="2" t="inlineStr">
        <is>
          <t>Phan Van Viet</t>
        </is>
      </c>
      <c r="H186" s="2" t="inlineStr">
        <is>
          <t>Sprint 4</t>
        </is>
      </c>
      <c r="I186" s="3" t="n">
        <v>46340</v>
      </c>
      <c r="J186" s="3" t="n">
        <v>46353</v>
      </c>
      <c r="K186" s="2" t="inlineStr">
        <is>
          <t>High</t>
        </is>
      </c>
      <c r="L186" s="2" t="inlineStr">
        <is>
          <t>subtask,PH-03,orig-131</t>
        </is>
      </c>
      <c r="M186" s="2" t="inlineStr">
        <is>
          <t>ORIG-131</t>
        </is>
      </c>
      <c r="N186" s="2" t="inlineStr">
        <is>
          <t>CIN-T-021, CIN-T-019, CIN-T-014</t>
        </is>
      </c>
      <c r="O186" s="2" t="inlineStr">
        <is>
          <t>PH-03</t>
        </is>
      </c>
      <c r="P186" s="2" t="inlineStr">
        <is>
          <t>CIN-T-022</t>
        </is>
      </c>
    </row>
    <row r="187">
      <c r="A187" s="2" t="inlineStr">
        <is>
          <t>Sub-task</t>
        </is>
      </c>
      <c r="B187" s="2" t="inlineStr">
        <is>
          <t>CIN-SUB-132</t>
        </is>
      </c>
      <c r="C187" s="2" t="inlineStr">
        <is>
          <t>CIN-T-022</t>
        </is>
      </c>
      <c r="D187" s="2" t="inlineStr">
        <is>
          <t>Concurrency Control</t>
        </is>
      </c>
      <c r="E187" s="2" t="inlineStr">
        <is>
          <t>Original Row ID: ORIG-132. Original task: Concurrency Control. Original description: Xử lý nhiều người cùng đặt một ghế.</t>
        </is>
      </c>
      <c r="F187" s="2" t="inlineStr">
        <is>
          <t>24120235</t>
        </is>
      </c>
      <c r="G187" s="2" t="inlineStr">
        <is>
          <t>Huynh Thanh Tu</t>
        </is>
      </c>
      <c r="H187" s="2" t="inlineStr">
        <is>
          <t>Sprint 4</t>
        </is>
      </c>
      <c r="I187" s="3" t="n">
        <v>46340</v>
      </c>
      <c r="J187" s="3" t="n">
        <v>46353</v>
      </c>
      <c r="K187" s="2" t="inlineStr">
        <is>
          <t>High</t>
        </is>
      </c>
      <c r="L187" s="2" t="inlineStr">
        <is>
          <t>subtask,PH-03,orig-132</t>
        </is>
      </c>
      <c r="M187" s="2" t="inlineStr">
        <is>
          <t>ORIG-132</t>
        </is>
      </c>
      <c r="N187" s="2" t="inlineStr">
        <is>
          <t>CIN-T-021, CIN-T-019, CIN-T-014</t>
        </is>
      </c>
      <c r="O187" s="2" t="inlineStr">
        <is>
          <t>PH-03</t>
        </is>
      </c>
      <c r="P187" s="2" t="inlineStr">
        <is>
          <t>CIN-T-022</t>
        </is>
      </c>
    </row>
    <row r="188">
      <c r="A188" s="2" t="inlineStr">
        <is>
          <t>Sub-task</t>
        </is>
      </c>
      <c r="B188" s="2" t="inlineStr">
        <is>
          <t>CIN-SUB-133</t>
        </is>
      </c>
      <c r="C188" s="2" t="inlineStr">
        <is>
          <t>CIN-T-023</t>
        </is>
      </c>
      <c r="D188" s="2" t="inlineStr">
        <is>
          <t>Thiết kế Payment Flow</t>
        </is>
      </c>
      <c r="E188" s="2" t="inlineStr">
        <is>
          <t>Original Row ID: ORIG-133. Original task: Thiết kế Payment Flow. Original description: Booking → Payment → Ticket.</t>
        </is>
      </c>
      <c r="F188" s="2" t="inlineStr">
        <is>
          <t>24120255</t>
        </is>
      </c>
      <c r="G188" s="2" t="inlineStr">
        <is>
          <t>Tran Thien An</t>
        </is>
      </c>
      <c r="H188" s="2" t="inlineStr">
        <is>
          <t>Sprint 4</t>
        </is>
      </c>
      <c r="I188" s="3" t="n">
        <v>46340</v>
      </c>
      <c r="J188" s="3" t="n">
        <v>46353</v>
      </c>
      <c r="K188" s="2" t="inlineStr">
        <is>
          <t>High</t>
        </is>
      </c>
      <c r="L188" s="2" t="inlineStr">
        <is>
          <t>subtask,PH-03,orig-133</t>
        </is>
      </c>
      <c r="M188" s="2" t="inlineStr">
        <is>
          <t>ORIG-133</t>
        </is>
      </c>
      <c r="N188" s="2" t="inlineStr">
        <is>
          <t>CIN-T-022</t>
        </is>
      </c>
      <c r="O188" s="2" t="inlineStr">
        <is>
          <t>PH-03</t>
        </is>
      </c>
      <c r="P188" s="2" t="inlineStr">
        <is>
          <t>CIN-T-023</t>
        </is>
      </c>
    </row>
    <row r="189">
      <c r="A189" s="2" t="inlineStr">
        <is>
          <t>Sub-task</t>
        </is>
      </c>
      <c r="B189" s="2" t="inlineStr">
        <is>
          <t>CIN-SUB-134</t>
        </is>
      </c>
      <c r="C189" s="2" t="inlineStr">
        <is>
          <t>CIN-T-023</t>
        </is>
      </c>
      <c r="D189" s="2" t="inlineStr">
        <is>
          <t>Tích hợp Payment Gateway</t>
        </is>
      </c>
      <c r="E189" s="2" t="inlineStr">
        <is>
          <t>Original Row ID: ORIG-134. Original task: Tích hợp Payment Gateway. Original description: Tích hợp cổng thanh toán nếu yêu cầu.</t>
        </is>
      </c>
      <c r="F189" s="2" t="inlineStr">
        <is>
          <t>24120098</t>
        </is>
      </c>
      <c r="G189" s="2" t="inlineStr">
        <is>
          <t>Nguyen Quoc Nam</t>
        </is>
      </c>
      <c r="H189" s="2" t="inlineStr">
        <is>
          <t>Sprint 4</t>
        </is>
      </c>
      <c r="I189" s="3" t="n">
        <v>46340</v>
      </c>
      <c r="J189" s="3" t="n">
        <v>46353</v>
      </c>
      <c r="K189" s="2" t="inlineStr">
        <is>
          <t>High</t>
        </is>
      </c>
      <c r="L189" s="2" t="inlineStr">
        <is>
          <t>subtask,PH-03,orig-134</t>
        </is>
      </c>
      <c r="M189" s="2" t="inlineStr">
        <is>
          <t>ORIG-134</t>
        </is>
      </c>
      <c r="N189" s="2" t="inlineStr">
        <is>
          <t>CIN-T-022</t>
        </is>
      </c>
      <c r="O189" s="2" t="inlineStr">
        <is>
          <t>PH-03</t>
        </is>
      </c>
      <c r="P189" s="2" t="inlineStr">
        <is>
          <t>CIN-T-023</t>
        </is>
      </c>
    </row>
    <row r="190">
      <c r="A190" s="2" t="inlineStr">
        <is>
          <t>Sub-task</t>
        </is>
      </c>
      <c r="B190" s="2" t="inlineStr">
        <is>
          <t>CIN-SUB-135</t>
        </is>
      </c>
      <c r="C190" s="2" t="inlineStr">
        <is>
          <t>CIN-T-023</t>
        </is>
      </c>
      <c r="D190" s="2" t="inlineStr">
        <is>
          <t>Payment Callback / Webhook</t>
        </is>
      </c>
      <c r="E190" s="2" t="inlineStr">
        <is>
          <t>Original Row ID: ORIG-135. Original task: Payment Callback / Webhook. Original description: Nhận kết quả thanh toán.</t>
        </is>
      </c>
      <c r="F190" s="2" t="inlineStr">
        <is>
          <t>24120271</t>
        </is>
      </c>
      <c r="G190" s="2" t="inlineStr">
        <is>
          <t>Nguyen Trung Chinh</t>
        </is>
      </c>
      <c r="H190" s="2" t="inlineStr">
        <is>
          <t>Sprint 4</t>
        </is>
      </c>
      <c r="I190" s="3" t="n">
        <v>46340</v>
      </c>
      <c r="J190" s="3" t="n">
        <v>46353</v>
      </c>
      <c r="K190" s="2" t="inlineStr">
        <is>
          <t>High</t>
        </is>
      </c>
      <c r="L190" s="2" t="inlineStr">
        <is>
          <t>subtask,PH-03,orig-135</t>
        </is>
      </c>
      <c r="M190" s="2" t="inlineStr">
        <is>
          <t>ORIG-135</t>
        </is>
      </c>
      <c r="N190" s="2" t="inlineStr">
        <is>
          <t>CIN-T-022</t>
        </is>
      </c>
      <c r="O190" s="2" t="inlineStr">
        <is>
          <t>PH-03</t>
        </is>
      </c>
      <c r="P190" s="2" t="inlineStr">
        <is>
          <t>CIN-T-023</t>
        </is>
      </c>
    </row>
    <row r="191">
      <c r="A191" s="2" t="inlineStr">
        <is>
          <t>Sub-task</t>
        </is>
      </c>
      <c r="B191" s="2" t="inlineStr">
        <is>
          <t>CIN-SUB-136</t>
        </is>
      </c>
      <c r="C191" s="2" t="inlineStr">
        <is>
          <t>CIN-T-023</t>
        </is>
      </c>
      <c r="D191" s="2" t="inlineStr">
        <is>
          <t>Xác thực giao dịch</t>
        </is>
      </c>
      <c r="E191" s="2" t="inlineStr">
        <is>
          <t>Original Row ID: ORIG-136. Original task: Xác thực giao dịch. Original description: Kiểm tra tính hợp lệ của transaction.</t>
        </is>
      </c>
      <c r="F191" s="2" t="inlineStr">
        <is>
          <t>24120244</t>
        </is>
      </c>
      <c r="G191" s="2" t="inlineStr">
        <is>
          <t>Phan Van Viet</t>
        </is>
      </c>
      <c r="H191" s="2" t="inlineStr">
        <is>
          <t>Sprint 4</t>
        </is>
      </c>
      <c r="I191" s="3" t="n">
        <v>46340</v>
      </c>
      <c r="J191" s="3" t="n">
        <v>46353</v>
      </c>
      <c r="K191" s="2" t="inlineStr">
        <is>
          <t>High</t>
        </is>
      </c>
      <c r="L191" s="2" t="inlineStr">
        <is>
          <t>subtask,PH-03,orig-136</t>
        </is>
      </c>
      <c r="M191" s="2" t="inlineStr">
        <is>
          <t>ORIG-136</t>
        </is>
      </c>
      <c r="N191" s="2" t="inlineStr">
        <is>
          <t>CIN-T-022</t>
        </is>
      </c>
      <c r="O191" s="2" t="inlineStr">
        <is>
          <t>PH-03</t>
        </is>
      </c>
      <c r="P191" s="2" t="inlineStr">
        <is>
          <t>CIN-T-023</t>
        </is>
      </c>
    </row>
    <row r="192">
      <c r="A192" s="2" t="inlineStr">
        <is>
          <t>Sub-task</t>
        </is>
      </c>
      <c r="B192" s="2" t="inlineStr">
        <is>
          <t>CIN-SUB-137</t>
        </is>
      </c>
      <c r="C192" s="2" t="inlineStr">
        <is>
          <t>CIN-T-023</t>
        </is>
      </c>
      <c r="D192" s="2" t="inlineStr">
        <is>
          <t>Payment Status</t>
        </is>
      </c>
      <c r="E192" s="2" t="inlineStr">
        <is>
          <t>Original Row ID: ORIG-137. Original task: Payment Status. Original description: Pending / Success / Failed / Cancelled.</t>
        </is>
      </c>
      <c r="F192" s="2" t="inlineStr">
        <is>
          <t>24120235</t>
        </is>
      </c>
      <c r="G192" s="2" t="inlineStr">
        <is>
          <t>Huynh Thanh Tu</t>
        </is>
      </c>
      <c r="H192" s="2" t="inlineStr">
        <is>
          <t>Sprint 4</t>
        </is>
      </c>
      <c r="I192" s="3" t="n">
        <v>46340</v>
      </c>
      <c r="J192" s="3" t="n">
        <v>46353</v>
      </c>
      <c r="K192" s="2" t="inlineStr">
        <is>
          <t>High</t>
        </is>
      </c>
      <c r="L192" s="2" t="inlineStr">
        <is>
          <t>subtask,PH-03,orig-137</t>
        </is>
      </c>
      <c r="M192" s="2" t="inlineStr">
        <is>
          <t>ORIG-137</t>
        </is>
      </c>
      <c r="N192" s="2" t="inlineStr">
        <is>
          <t>CIN-T-022</t>
        </is>
      </c>
      <c r="O192" s="2" t="inlineStr">
        <is>
          <t>PH-03</t>
        </is>
      </c>
      <c r="P192" s="2" t="inlineStr">
        <is>
          <t>CIN-T-023</t>
        </is>
      </c>
    </row>
    <row r="193">
      <c r="A193" s="2" t="inlineStr">
        <is>
          <t>Sub-task</t>
        </is>
      </c>
      <c r="B193" s="2" t="inlineStr">
        <is>
          <t>CIN-SUB-138</t>
        </is>
      </c>
      <c r="C193" s="2" t="inlineStr">
        <is>
          <t>CIN-T-023</t>
        </is>
      </c>
      <c r="D193" s="2" t="inlineStr">
        <is>
          <t>Payment Timeout</t>
        </is>
      </c>
      <c r="E193" s="2" t="inlineStr">
        <is>
          <t>Original Row ID: ORIG-138. Original task: Payment Timeout. Original description: Xử lý giao dịch hết thời gian.</t>
        </is>
      </c>
      <c r="F193" s="2" t="inlineStr">
        <is>
          <t>24120255</t>
        </is>
      </c>
      <c r="G193" s="2" t="inlineStr">
        <is>
          <t>Tran Thien An</t>
        </is>
      </c>
      <c r="H193" s="2" t="inlineStr">
        <is>
          <t>Sprint 4</t>
        </is>
      </c>
      <c r="I193" s="3" t="n">
        <v>46340</v>
      </c>
      <c r="J193" s="3" t="n">
        <v>46353</v>
      </c>
      <c r="K193" s="2" t="inlineStr">
        <is>
          <t>High</t>
        </is>
      </c>
      <c r="L193" s="2" t="inlineStr">
        <is>
          <t>subtask,PH-03,orig-138</t>
        </is>
      </c>
      <c r="M193" s="2" t="inlineStr">
        <is>
          <t>ORIG-138</t>
        </is>
      </c>
      <c r="N193" s="2" t="inlineStr">
        <is>
          <t>CIN-T-022</t>
        </is>
      </c>
      <c r="O193" s="2" t="inlineStr">
        <is>
          <t>PH-03</t>
        </is>
      </c>
      <c r="P193" s="2" t="inlineStr">
        <is>
          <t>CIN-T-023</t>
        </is>
      </c>
    </row>
    <row r="194">
      <c r="A194" s="2" t="inlineStr">
        <is>
          <t>Sub-task</t>
        </is>
      </c>
      <c r="B194" s="2" t="inlineStr">
        <is>
          <t>CIN-SUB-139</t>
        </is>
      </c>
      <c r="C194" s="2" t="inlineStr">
        <is>
          <t>CIN-T-023</t>
        </is>
      </c>
      <c r="D194" s="2" t="inlineStr">
        <is>
          <t>Refund</t>
        </is>
      </c>
      <c r="E194" s="2" t="inlineStr">
        <is>
          <t>Original Row ID: ORIG-139. Original task: Refund. Original description: Xử lý hoàn tiền nếu hệ thống hỗ trợ.</t>
        </is>
      </c>
      <c r="F194" s="2" t="inlineStr">
        <is>
          <t>24120098</t>
        </is>
      </c>
      <c r="G194" s="2" t="inlineStr">
        <is>
          <t>Nguyen Quoc Nam</t>
        </is>
      </c>
      <c r="H194" s="2" t="inlineStr">
        <is>
          <t>Sprint 4</t>
        </is>
      </c>
      <c r="I194" s="3" t="n">
        <v>46340</v>
      </c>
      <c r="J194" s="3" t="n">
        <v>46353</v>
      </c>
      <c r="K194" s="2" t="inlineStr">
        <is>
          <t>High</t>
        </is>
      </c>
      <c r="L194" s="2" t="inlineStr">
        <is>
          <t>subtask,PH-03,orig-139</t>
        </is>
      </c>
      <c r="M194" s="2" t="inlineStr">
        <is>
          <t>ORIG-139</t>
        </is>
      </c>
      <c r="N194" s="2" t="inlineStr">
        <is>
          <t>CIN-T-022</t>
        </is>
      </c>
      <c r="O194" s="2" t="inlineStr">
        <is>
          <t>PH-03</t>
        </is>
      </c>
      <c r="P194" s="2" t="inlineStr">
        <is>
          <t>CIN-T-023</t>
        </is>
      </c>
    </row>
    <row r="195">
      <c r="A195" s="2" t="inlineStr">
        <is>
          <t>Sub-task</t>
        </is>
      </c>
      <c r="B195" s="2" t="inlineStr">
        <is>
          <t>CIN-SUB-140</t>
        </is>
      </c>
      <c r="C195" s="2" t="inlineStr">
        <is>
          <t>CIN-T-024</t>
        </is>
      </c>
      <c r="D195" s="2" t="inlineStr">
        <is>
          <t>Phát hành Ticket</t>
        </is>
      </c>
      <c r="E195" s="2" t="inlineStr">
        <is>
          <t>Original Row ID: ORIG-140. Original task: Phát hành Ticket. Original description: Tạo vé sau khi thanh toán thành công.</t>
        </is>
      </c>
      <c r="F195" s="2" t="inlineStr">
        <is>
          <t>24120271</t>
        </is>
      </c>
      <c r="G195" s="2" t="inlineStr">
        <is>
          <t>Nguyen Trung Chinh</t>
        </is>
      </c>
      <c r="H195" s="2" t="inlineStr">
        <is>
          <t>Sprint 4</t>
        </is>
      </c>
      <c r="I195" s="3" t="n">
        <v>46340</v>
      </c>
      <c r="J195" s="3" t="n">
        <v>46353</v>
      </c>
      <c r="K195" s="2" t="inlineStr">
        <is>
          <t>High</t>
        </is>
      </c>
      <c r="L195" s="2" t="inlineStr">
        <is>
          <t>subtask,PH-03,orig-140</t>
        </is>
      </c>
      <c r="M195" s="2" t="inlineStr">
        <is>
          <t>ORIG-140</t>
        </is>
      </c>
      <c r="N195" s="2" t="inlineStr">
        <is>
          <t>CIN-T-023, CIN-T-022</t>
        </is>
      </c>
      <c r="O195" s="2" t="inlineStr">
        <is>
          <t>PH-03</t>
        </is>
      </c>
      <c r="P195" s="2" t="inlineStr">
        <is>
          <t>CIN-T-024</t>
        </is>
      </c>
    </row>
    <row r="196">
      <c r="A196" s="2" t="inlineStr">
        <is>
          <t>Sub-task</t>
        </is>
      </c>
      <c r="B196" s="2" t="inlineStr">
        <is>
          <t>CIN-SUB-141</t>
        </is>
      </c>
      <c r="C196" s="2" t="inlineStr">
        <is>
          <t>CIN-T-024</t>
        </is>
      </c>
      <c r="D196" s="2" t="inlineStr">
        <is>
          <t>Generate Ticket Code</t>
        </is>
      </c>
      <c r="E196" s="2" t="inlineStr">
        <is>
          <t>Original Row ID: ORIG-141. Original task: Generate Ticket Code. Original description: Sinh mã vé duy nhất.</t>
        </is>
      </c>
      <c r="F196" s="2" t="inlineStr">
        <is>
          <t>24120244</t>
        </is>
      </c>
      <c r="G196" s="2" t="inlineStr">
        <is>
          <t>Phan Van Viet</t>
        </is>
      </c>
      <c r="H196" s="2" t="inlineStr">
        <is>
          <t>Sprint 4</t>
        </is>
      </c>
      <c r="I196" s="3" t="n">
        <v>46340</v>
      </c>
      <c r="J196" s="3" t="n">
        <v>46353</v>
      </c>
      <c r="K196" s="2" t="inlineStr">
        <is>
          <t>High</t>
        </is>
      </c>
      <c r="L196" s="2" t="inlineStr">
        <is>
          <t>subtask,PH-03,orig-141</t>
        </is>
      </c>
      <c r="M196" s="2" t="inlineStr">
        <is>
          <t>ORIG-141</t>
        </is>
      </c>
      <c r="N196" s="2" t="inlineStr">
        <is>
          <t>CIN-T-023, CIN-T-022</t>
        </is>
      </c>
      <c r="O196" s="2" t="inlineStr">
        <is>
          <t>PH-03</t>
        </is>
      </c>
      <c r="P196" s="2" t="inlineStr">
        <is>
          <t>CIN-T-024</t>
        </is>
      </c>
    </row>
    <row r="197">
      <c r="A197" s="2" t="inlineStr">
        <is>
          <t>Sub-task</t>
        </is>
      </c>
      <c r="B197" s="2" t="inlineStr">
        <is>
          <t>CIN-SUB-142</t>
        </is>
      </c>
      <c r="C197" s="2" t="inlineStr">
        <is>
          <t>CIN-T-024</t>
        </is>
      </c>
      <c r="D197" s="2" t="inlineStr">
        <is>
          <t>Generate QR Code</t>
        </is>
      </c>
      <c r="E197" s="2" t="inlineStr">
        <is>
          <t>Original Row ID: ORIG-142. Original task: Generate QR Code. Original description: QR Code chứa thông tin vé.</t>
        </is>
      </c>
      <c r="F197" s="2" t="inlineStr">
        <is>
          <t>24120235</t>
        </is>
      </c>
      <c r="G197" s="2" t="inlineStr">
        <is>
          <t>Huynh Thanh Tu</t>
        </is>
      </c>
      <c r="H197" s="2" t="inlineStr">
        <is>
          <t>Sprint 4</t>
        </is>
      </c>
      <c r="I197" s="3" t="n">
        <v>46340</v>
      </c>
      <c r="J197" s="3" t="n">
        <v>46353</v>
      </c>
      <c r="K197" s="2" t="inlineStr">
        <is>
          <t>High</t>
        </is>
      </c>
      <c r="L197" s="2" t="inlineStr">
        <is>
          <t>subtask,PH-03,orig-142</t>
        </is>
      </c>
      <c r="M197" s="2" t="inlineStr">
        <is>
          <t>ORIG-142</t>
        </is>
      </c>
      <c r="N197" s="2" t="inlineStr">
        <is>
          <t>CIN-T-023, CIN-T-022</t>
        </is>
      </c>
      <c r="O197" s="2" t="inlineStr">
        <is>
          <t>PH-03</t>
        </is>
      </c>
      <c r="P197" s="2" t="inlineStr">
        <is>
          <t>CIN-T-024</t>
        </is>
      </c>
    </row>
    <row r="198">
      <c r="A198" s="2" t="inlineStr">
        <is>
          <t>Sub-task</t>
        </is>
      </c>
      <c r="B198" s="2" t="inlineStr">
        <is>
          <t>CIN-SUB-143</t>
        </is>
      </c>
      <c r="C198" s="2" t="inlineStr">
        <is>
          <t>CIN-T-024</t>
        </is>
      </c>
      <c r="D198" s="2" t="inlineStr">
        <is>
          <t>Ticket Validation</t>
        </is>
      </c>
      <c r="E198" s="2" t="inlineStr">
        <is>
          <t>Original Row ID: ORIG-143. Original task: Ticket Validation. Original description: Kiểm tra vé hợp lệ.</t>
        </is>
      </c>
      <c r="F198" s="2" t="inlineStr">
        <is>
          <t>24120098</t>
        </is>
      </c>
      <c r="G198" s="2" t="inlineStr">
        <is>
          <t>Nguyen Quoc Nam</t>
        </is>
      </c>
      <c r="H198" s="2" t="inlineStr">
        <is>
          <t>Sprint 4</t>
        </is>
      </c>
      <c r="I198" s="3" t="n">
        <v>46340</v>
      </c>
      <c r="J198" s="3" t="n">
        <v>46353</v>
      </c>
      <c r="K198" s="2" t="inlineStr">
        <is>
          <t>High</t>
        </is>
      </c>
      <c r="L198" s="2" t="inlineStr">
        <is>
          <t>subtask,PH-03,orig-143</t>
        </is>
      </c>
      <c r="M198" s="2" t="inlineStr">
        <is>
          <t>ORIG-143</t>
        </is>
      </c>
      <c r="N198" s="2" t="inlineStr">
        <is>
          <t>CIN-T-023, CIN-T-022</t>
        </is>
      </c>
      <c r="O198" s="2" t="inlineStr">
        <is>
          <t>PH-03</t>
        </is>
      </c>
      <c r="P198" s="2" t="inlineStr">
        <is>
          <t>CIN-T-024</t>
        </is>
      </c>
    </row>
    <row r="199">
      <c r="A199" s="2" t="inlineStr">
        <is>
          <t>Sub-task</t>
        </is>
      </c>
      <c r="B199" s="2" t="inlineStr">
        <is>
          <t>CIN-SUB-144</t>
        </is>
      </c>
      <c r="C199" s="2" t="inlineStr">
        <is>
          <t>CIN-T-024</t>
        </is>
      </c>
      <c r="D199" s="2" t="inlineStr">
        <is>
          <t>Ticket Status</t>
        </is>
      </c>
      <c r="E199" s="2" t="inlineStr">
        <is>
          <t>Original Row ID: ORIG-144. Original task: Ticket Status. Original description: Active / Used / Cancelled / Expired.</t>
        </is>
      </c>
      <c r="F199" s="2" t="inlineStr">
        <is>
          <t>24120255</t>
        </is>
      </c>
      <c r="G199" s="2" t="inlineStr">
        <is>
          <t>Tran Thien An</t>
        </is>
      </c>
      <c r="H199" s="2" t="inlineStr">
        <is>
          <t>Sprint 4</t>
        </is>
      </c>
      <c r="I199" s="3" t="n">
        <v>46340</v>
      </c>
      <c r="J199" s="3" t="n">
        <v>46353</v>
      </c>
      <c r="K199" s="2" t="inlineStr">
        <is>
          <t>High</t>
        </is>
      </c>
      <c r="L199" s="2" t="inlineStr">
        <is>
          <t>subtask,PH-03,orig-144</t>
        </is>
      </c>
      <c r="M199" s="2" t="inlineStr">
        <is>
          <t>ORIG-144</t>
        </is>
      </c>
      <c r="N199" s="2" t="inlineStr">
        <is>
          <t>CIN-T-023, CIN-T-022</t>
        </is>
      </c>
      <c r="O199" s="2" t="inlineStr">
        <is>
          <t>PH-03</t>
        </is>
      </c>
      <c r="P199" s="2" t="inlineStr">
        <is>
          <t>CIN-T-024</t>
        </is>
      </c>
    </row>
    <row r="200">
      <c r="A200" s="2" t="inlineStr">
        <is>
          <t>Sub-task</t>
        </is>
      </c>
      <c r="B200" s="2" t="inlineStr">
        <is>
          <t>CIN-SUB-145</t>
        </is>
      </c>
      <c r="C200" s="2" t="inlineStr">
        <is>
          <t>CIN-T-025</t>
        </is>
      </c>
      <c r="D200" s="2" t="inlineStr">
        <is>
          <t>Web Layout</t>
        </is>
      </c>
      <c r="E200" s="2" t="inlineStr">
        <is>
          <t>Original Row ID: ORIG-145. Original task: Web Layout. Original description: Header, Footer, Navigation, Responsive.</t>
        </is>
      </c>
      <c r="F200" s="2" t="inlineStr">
        <is>
          <t>24120271</t>
        </is>
      </c>
      <c r="G200" s="2" t="inlineStr">
        <is>
          <t>Nguyen Trung Chinh</t>
        </is>
      </c>
      <c r="H200" s="2" t="inlineStr">
        <is>
          <t>Sprint 3</t>
        </is>
      </c>
      <c r="I200" s="3" t="n">
        <v>46326</v>
      </c>
      <c r="J200" s="3" t="n">
        <v>46339</v>
      </c>
      <c r="K200" s="2" t="inlineStr">
        <is>
          <t>High</t>
        </is>
      </c>
      <c r="L200" s="2" t="inlineStr">
        <is>
          <t>subtask,PH-03,orig-145</t>
        </is>
      </c>
      <c r="M200" s="2" t="inlineStr">
        <is>
          <t>ORIG-145</t>
        </is>
      </c>
      <c r="N200" s="2" t="inlineStr">
        <is>
          <t>CIN-T-009, CIN-T-015</t>
        </is>
      </c>
      <c r="O200" s="2" t="inlineStr">
        <is>
          <t>PH-03</t>
        </is>
      </c>
      <c r="P200" s="2" t="inlineStr">
        <is>
          <t>CIN-T-025</t>
        </is>
      </c>
    </row>
    <row r="201">
      <c r="A201" s="2" t="inlineStr">
        <is>
          <t>Sub-task</t>
        </is>
      </c>
      <c r="B201" s="2" t="inlineStr">
        <is>
          <t>CIN-SUB-146</t>
        </is>
      </c>
      <c r="C201" s="2" t="inlineStr">
        <is>
          <t>CIN-T-025</t>
        </is>
      </c>
      <c r="D201" s="2" t="inlineStr">
        <is>
          <t>Trang Home</t>
        </is>
      </c>
      <c r="E201" s="2" t="inlineStr">
        <is>
          <t>Original Row ID: ORIG-146. Original task: Trang Home. Original description: Phim đang chiếu / sắp chiếu.</t>
        </is>
      </c>
      <c r="F201" s="2" t="inlineStr">
        <is>
          <t>24120235</t>
        </is>
      </c>
      <c r="G201" s="2" t="inlineStr">
        <is>
          <t>Huynh Thanh Tu</t>
        </is>
      </c>
      <c r="H201" s="2" t="inlineStr">
        <is>
          <t>Sprint 3</t>
        </is>
      </c>
      <c r="I201" s="3" t="n">
        <v>46326</v>
      </c>
      <c r="J201" s="3" t="n">
        <v>46339</v>
      </c>
      <c r="K201" s="2" t="inlineStr">
        <is>
          <t>High</t>
        </is>
      </c>
      <c r="L201" s="2" t="inlineStr">
        <is>
          <t>subtask,PH-03,orig-146</t>
        </is>
      </c>
      <c r="M201" s="2" t="inlineStr">
        <is>
          <t>ORIG-146</t>
        </is>
      </c>
      <c r="N201" s="2" t="inlineStr">
        <is>
          <t>CIN-T-009, CIN-T-015</t>
        </is>
      </c>
      <c r="O201" s="2" t="inlineStr">
        <is>
          <t>PH-03</t>
        </is>
      </c>
      <c r="P201" s="2" t="inlineStr">
        <is>
          <t>CIN-T-025</t>
        </is>
      </c>
    </row>
    <row r="202">
      <c r="A202" s="2" t="inlineStr">
        <is>
          <t>Sub-task</t>
        </is>
      </c>
      <c r="B202" s="2" t="inlineStr">
        <is>
          <t>CIN-SUB-147</t>
        </is>
      </c>
      <c r="C202" s="2" t="inlineStr">
        <is>
          <t>CIN-T-025</t>
        </is>
      </c>
      <c r="D202" s="2" t="inlineStr">
        <is>
          <t>Trang Movie List</t>
        </is>
      </c>
      <c r="E202" s="2" t="inlineStr">
        <is>
          <t>Original Row ID: ORIG-147. Original task: Trang Movie List. Original description: Danh sách phim.</t>
        </is>
      </c>
      <c r="F202" s="2" t="inlineStr">
        <is>
          <t>24120244</t>
        </is>
      </c>
      <c r="G202" s="2" t="inlineStr">
        <is>
          <t>Phan Van Viet</t>
        </is>
      </c>
      <c r="H202" s="2" t="inlineStr">
        <is>
          <t>Sprint 3</t>
        </is>
      </c>
      <c r="I202" s="3" t="n">
        <v>46326</v>
      </c>
      <c r="J202" s="3" t="n">
        <v>46339</v>
      </c>
      <c r="K202" s="2" t="inlineStr">
        <is>
          <t>High</t>
        </is>
      </c>
      <c r="L202" s="2" t="inlineStr">
        <is>
          <t>subtask,PH-03,orig-147</t>
        </is>
      </c>
      <c r="M202" s="2" t="inlineStr">
        <is>
          <t>ORIG-147</t>
        </is>
      </c>
      <c r="N202" s="2" t="inlineStr">
        <is>
          <t>CIN-T-009, CIN-T-015</t>
        </is>
      </c>
      <c r="O202" s="2" t="inlineStr">
        <is>
          <t>PH-03</t>
        </is>
      </c>
      <c r="P202" s="2" t="inlineStr">
        <is>
          <t>CIN-T-025</t>
        </is>
      </c>
    </row>
    <row r="203">
      <c r="A203" s="2" t="inlineStr">
        <is>
          <t>Sub-task</t>
        </is>
      </c>
      <c r="B203" s="2" t="inlineStr">
        <is>
          <t>CIN-SUB-148</t>
        </is>
      </c>
      <c r="C203" s="2" t="inlineStr">
        <is>
          <t>CIN-T-025</t>
        </is>
      </c>
      <c r="D203" s="2" t="inlineStr">
        <is>
          <t>Trang Movie Detail</t>
        </is>
      </c>
      <c r="E203" s="2" t="inlineStr">
        <is>
          <t>Original Row ID: ORIG-148. Original task: Trang Movie Detail. Original description: Thông tin chi tiết phim.</t>
        </is>
      </c>
      <c r="F203" s="2" t="inlineStr">
        <is>
          <t>24120255</t>
        </is>
      </c>
      <c r="G203" s="2" t="inlineStr">
        <is>
          <t>Tran Thien An</t>
        </is>
      </c>
      <c r="H203" s="2" t="inlineStr">
        <is>
          <t>Sprint 3</t>
        </is>
      </c>
      <c r="I203" s="3" t="n">
        <v>46326</v>
      </c>
      <c r="J203" s="3" t="n">
        <v>46339</v>
      </c>
      <c r="K203" s="2" t="inlineStr">
        <is>
          <t>High</t>
        </is>
      </c>
      <c r="L203" s="2" t="inlineStr">
        <is>
          <t>subtask,PH-03,orig-148</t>
        </is>
      </c>
      <c r="M203" s="2" t="inlineStr">
        <is>
          <t>ORIG-148</t>
        </is>
      </c>
      <c r="N203" s="2" t="inlineStr">
        <is>
          <t>CIN-T-009, CIN-T-015</t>
        </is>
      </c>
      <c r="O203" s="2" t="inlineStr">
        <is>
          <t>PH-03</t>
        </is>
      </c>
      <c r="P203" s="2" t="inlineStr">
        <is>
          <t>CIN-T-025</t>
        </is>
      </c>
    </row>
    <row r="204">
      <c r="A204" s="2" t="inlineStr">
        <is>
          <t>Sub-task</t>
        </is>
      </c>
      <c r="B204" s="2" t="inlineStr">
        <is>
          <t>CIN-SUB-149</t>
        </is>
      </c>
      <c r="C204" s="2" t="inlineStr">
        <is>
          <t>CIN-T-025</t>
        </is>
      </c>
      <c r="D204" s="2" t="inlineStr">
        <is>
          <t>Trang Showtime</t>
        </is>
      </c>
      <c r="E204" s="2" t="inlineStr">
        <is>
          <t>Original Row ID: ORIG-149. Original task: Trang Showtime. Original description: Lịch chiếu.</t>
        </is>
      </c>
      <c r="F204" s="2" t="inlineStr">
        <is>
          <t>24120098</t>
        </is>
      </c>
      <c r="G204" s="2" t="inlineStr">
        <is>
          <t>Nguyen Quoc Nam</t>
        </is>
      </c>
      <c r="H204" s="2" t="inlineStr">
        <is>
          <t>Sprint 3</t>
        </is>
      </c>
      <c r="I204" s="3" t="n">
        <v>46326</v>
      </c>
      <c r="J204" s="3" t="n">
        <v>46339</v>
      </c>
      <c r="K204" s="2" t="inlineStr">
        <is>
          <t>High</t>
        </is>
      </c>
      <c r="L204" s="2" t="inlineStr">
        <is>
          <t>subtask,PH-03,orig-149</t>
        </is>
      </c>
      <c r="M204" s="2" t="inlineStr">
        <is>
          <t>ORIG-149</t>
        </is>
      </c>
      <c r="N204" s="2" t="inlineStr">
        <is>
          <t>CIN-T-009, CIN-T-015</t>
        </is>
      </c>
      <c r="O204" s="2" t="inlineStr">
        <is>
          <t>PH-03</t>
        </is>
      </c>
      <c r="P204" s="2" t="inlineStr">
        <is>
          <t>CIN-T-025</t>
        </is>
      </c>
    </row>
    <row r="205">
      <c r="A205" s="2" t="inlineStr">
        <is>
          <t>Sub-task</t>
        </is>
      </c>
      <c r="B205" s="2" t="inlineStr">
        <is>
          <t>CIN-SUB-150</t>
        </is>
      </c>
      <c r="C205" s="2" t="inlineStr">
        <is>
          <t>CIN-T-026</t>
        </is>
      </c>
      <c r="D205" s="2" t="inlineStr">
        <is>
          <t>Trang Seat Selection</t>
        </is>
      </c>
      <c r="E205" s="2" t="inlineStr">
        <is>
          <t>Original Row ID: ORIG-150. Original task: Trang Seat Selection. Original description: Sơ đồ chọn ghế.</t>
        </is>
      </c>
      <c r="F205" s="2" t="inlineStr">
        <is>
          <t>24120235</t>
        </is>
      </c>
      <c r="G205" s="2" t="inlineStr">
        <is>
          <t>Huynh Thanh Tu</t>
        </is>
      </c>
      <c r="H205" s="2" t="inlineStr">
        <is>
          <t>Sprint 4</t>
        </is>
      </c>
      <c r="I205" s="3" t="n">
        <v>46340</v>
      </c>
      <c r="J205" s="3" t="n">
        <v>46353</v>
      </c>
      <c r="K205" s="2" t="inlineStr">
        <is>
          <t>High</t>
        </is>
      </c>
      <c r="L205" s="2" t="inlineStr">
        <is>
          <t>subtask,PH-03,orig-150</t>
        </is>
      </c>
      <c r="M205" s="2" t="inlineStr">
        <is>
          <t>ORIG-150</t>
        </is>
      </c>
      <c r="N205" s="2" t="inlineStr">
        <is>
          <t>CIN-T-025, CIN-T-022, CIN-T-023, CIN-T-024</t>
        </is>
      </c>
      <c r="O205" s="2" t="inlineStr">
        <is>
          <t>PH-03</t>
        </is>
      </c>
      <c r="P205" s="2" t="inlineStr">
        <is>
          <t>CIN-T-026</t>
        </is>
      </c>
    </row>
    <row r="206">
      <c r="A206" s="2" t="inlineStr">
        <is>
          <t>Sub-task</t>
        </is>
      </c>
      <c r="B206" s="2" t="inlineStr">
        <is>
          <t>CIN-SUB-151</t>
        </is>
      </c>
      <c r="C206" s="2" t="inlineStr">
        <is>
          <t>CIN-T-026</t>
        </is>
      </c>
      <c r="D206" s="2" t="inlineStr">
        <is>
          <t>Trang Ticket Type</t>
        </is>
      </c>
      <c r="E206" s="2" t="inlineStr">
        <is>
          <t>Original Row ID: ORIG-151. Original task: Trang Ticket Type. Original description: Chọn loại vé.</t>
        </is>
      </c>
      <c r="F206" s="2" t="inlineStr">
        <is>
          <t>24120271</t>
        </is>
      </c>
      <c r="G206" s="2" t="inlineStr">
        <is>
          <t>Nguyen Trung Chinh</t>
        </is>
      </c>
      <c r="H206" s="2" t="inlineStr">
        <is>
          <t>Sprint 4</t>
        </is>
      </c>
      <c r="I206" s="3" t="n">
        <v>46340</v>
      </c>
      <c r="J206" s="3" t="n">
        <v>46353</v>
      </c>
      <c r="K206" s="2" t="inlineStr">
        <is>
          <t>High</t>
        </is>
      </c>
      <c r="L206" s="2" t="inlineStr">
        <is>
          <t>subtask,PH-03,orig-151</t>
        </is>
      </c>
      <c r="M206" s="2" t="inlineStr">
        <is>
          <t>ORIG-151</t>
        </is>
      </c>
      <c r="N206" s="2" t="inlineStr">
        <is>
          <t>CIN-T-025, CIN-T-022, CIN-T-023, CIN-T-024</t>
        </is>
      </c>
      <c r="O206" s="2" t="inlineStr">
        <is>
          <t>PH-03</t>
        </is>
      </c>
      <c r="P206" s="2" t="inlineStr">
        <is>
          <t>CIN-T-026</t>
        </is>
      </c>
    </row>
    <row r="207">
      <c r="A207" s="2" t="inlineStr">
        <is>
          <t>Sub-task</t>
        </is>
      </c>
      <c r="B207" s="2" t="inlineStr">
        <is>
          <t>CIN-SUB-152</t>
        </is>
      </c>
      <c r="C207" s="2" t="inlineStr">
        <is>
          <t>CIN-T-026</t>
        </is>
      </c>
      <c r="D207" s="2" t="inlineStr">
        <is>
          <t>Trang Booking Confirmation</t>
        </is>
      </c>
      <c r="E207" s="2" t="inlineStr">
        <is>
          <t>Original Row ID: ORIG-152. Original task: Trang Booking Confirmation. Original description: Xác nhận thông tin đặt vé.</t>
        </is>
      </c>
      <c r="F207" s="2" t="inlineStr">
        <is>
          <t>24120244</t>
        </is>
      </c>
      <c r="G207" s="2" t="inlineStr">
        <is>
          <t>Phan Van Viet</t>
        </is>
      </c>
      <c r="H207" s="2" t="inlineStr">
        <is>
          <t>Sprint 4</t>
        </is>
      </c>
      <c r="I207" s="3" t="n">
        <v>46340</v>
      </c>
      <c r="J207" s="3" t="n">
        <v>46353</v>
      </c>
      <c r="K207" s="2" t="inlineStr">
        <is>
          <t>High</t>
        </is>
      </c>
      <c r="L207" s="2" t="inlineStr">
        <is>
          <t>subtask,PH-03,orig-152</t>
        </is>
      </c>
      <c r="M207" s="2" t="inlineStr">
        <is>
          <t>ORIG-152</t>
        </is>
      </c>
      <c r="N207" s="2" t="inlineStr">
        <is>
          <t>CIN-T-025, CIN-T-022, CIN-T-023, CIN-T-024</t>
        </is>
      </c>
      <c r="O207" s="2" t="inlineStr">
        <is>
          <t>PH-03</t>
        </is>
      </c>
      <c r="P207" s="2" t="inlineStr">
        <is>
          <t>CIN-T-026</t>
        </is>
      </c>
    </row>
    <row r="208">
      <c r="A208" s="2" t="inlineStr">
        <is>
          <t>Sub-task</t>
        </is>
      </c>
      <c r="B208" s="2" t="inlineStr">
        <is>
          <t>CIN-SUB-153</t>
        </is>
      </c>
      <c r="C208" s="2" t="inlineStr">
        <is>
          <t>CIN-T-026</t>
        </is>
      </c>
      <c r="D208" s="2" t="inlineStr">
        <is>
          <t>Trang Payment</t>
        </is>
      </c>
      <c r="E208" s="2" t="inlineStr">
        <is>
          <t>Original Row ID: ORIG-153. Original task: Trang Payment. Original description: Thanh toán.</t>
        </is>
      </c>
      <c r="F208" s="2" t="inlineStr">
        <is>
          <t>24120098</t>
        </is>
      </c>
      <c r="G208" s="2" t="inlineStr">
        <is>
          <t>Nguyen Quoc Nam</t>
        </is>
      </c>
      <c r="H208" s="2" t="inlineStr">
        <is>
          <t>Sprint 4</t>
        </is>
      </c>
      <c r="I208" s="3" t="n">
        <v>46340</v>
      </c>
      <c r="J208" s="3" t="n">
        <v>46353</v>
      </c>
      <c r="K208" s="2" t="inlineStr">
        <is>
          <t>High</t>
        </is>
      </c>
      <c r="L208" s="2" t="inlineStr">
        <is>
          <t>subtask,PH-03,orig-153</t>
        </is>
      </c>
      <c r="M208" s="2" t="inlineStr">
        <is>
          <t>ORIG-153</t>
        </is>
      </c>
      <c r="N208" s="2" t="inlineStr">
        <is>
          <t>CIN-T-025, CIN-T-022, CIN-T-023, CIN-T-024</t>
        </is>
      </c>
      <c r="O208" s="2" t="inlineStr">
        <is>
          <t>PH-03</t>
        </is>
      </c>
      <c r="P208" s="2" t="inlineStr">
        <is>
          <t>CIN-T-026</t>
        </is>
      </c>
    </row>
    <row r="209">
      <c r="A209" s="2" t="inlineStr">
        <is>
          <t>Sub-task</t>
        </is>
      </c>
      <c r="B209" s="2" t="inlineStr">
        <is>
          <t>CIN-SUB-154</t>
        </is>
      </c>
      <c r="C209" s="2" t="inlineStr">
        <is>
          <t>CIN-T-026</t>
        </is>
      </c>
      <c r="D209" s="2" t="inlineStr">
        <is>
          <t>Trang Payment Result</t>
        </is>
      </c>
      <c r="E209" s="2" t="inlineStr">
        <is>
          <t>Original Row ID: ORIG-154. Original task: Trang Payment Result. Original description: Thành công / thất bại.</t>
        </is>
      </c>
      <c r="F209" s="2" t="inlineStr">
        <is>
          <t>24120255</t>
        </is>
      </c>
      <c r="G209" s="2" t="inlineStr">
        <is>
          <t>Tran Thien An</t>
        </is>
      </c>
      <c r="H209" s="2" t="inlineStr">
        <is>
          <t>Sprint 4</t>
        </is>
      </c>
      <c r="I209" s="3" t="n">
        <v>46340</v>
      </c>
      <c r="J209" s="3" t="n">
        <v>46353</v>
      </c>
      <c r="K209" s="2" t="inlineStr">
        <is>
          <t>High</t>
        </is>
      </c>
      <c r="L209" s="2" t="inlineStr">
        <is>
          <t>subtask,PH-03,orig-154</t>
        </is>
      </c>
      <c r="M209" s="2" t="inlineStr">
        <is>
          <t>ORIG-154</t>
        </is>
      </c>
      <c r="N209" s="2" t="inlineStr">
        <is>
          <t>CIN-T-025, CIN-T-022, CIN-T-023, CIN-T-024</t>
        </is>
      </c>
      <c r="O209" s="2" t="inlineStr">
        <is>
          <t>PH-03</t>
        </is>
      </c>
      <c r="P209" s="2" t="inlineStr">
        <is>
          <t>CIN-T-026</t>
        </is>
      </c>
    </row>
    <row r="210">
      <c r="A210" s="2" t="inlineStr">
        <is>
          <t>Sub-task</t>
        </is>
      </c>
      <c r="B210" s="2" t="inlineStr">
        <is>
          <t>CIN-SUB-155</t>
        </is>
      </c>
      <c r="C210" s="2" t="inlineStr">
        <is>
          <t>CIN-T-026</t>
        </is>
      </c>
      <c r="D210" s="2" t="inlineStr">
        <is>
          <t>Trang My Tickets</t>
        </is>
      </c>
      <c r="E210" s="2" t="inlineStr">
        <is>
          <t>Original Row ID: ORIG-155. Original task: Trang My Tickets. Original description: Vé của tôi.</t>
        </is>
      </c>
      <c r="F210" s="2" t="inlineStr">
        <is>
          <t>24120235</t>
        </is>
      </c>
      <c r="G210" s="2" t="inlineStr">
        <is>
          <t>Huynh Thanh Tu</t>
        </is>
      </c>
      <c r="H210" s="2" t="inlineStr">
        <is>
          <t>Sprint 4</t>
        </is>
      </c>
      <c r="I210" s="3" t="n">
        <v>46340</v>
      </c>
      <c r="J210" s="3" t="n">
        <v>46353</v>
      </c>
      <c r="K210" s="2" t="inlineStr">
        <is>
          <t>High</t>
        </is>
      </c>
      <c r="L210" s="2" t="inlineStr">
        <is>
          <t>subtask,PH-03,orig-155</t>
        </is>
      </c>
      <c r="M210" s="2" t="inlineStr">
        <is>
          <t>ORIG-155</t>
        </is>
      </c>
      <c r="N210" s="2" t="inlineStr">
        <is>
          <t>CIN-T-025, CIN-T-022, CIN-T-023, CIN-T-024</t>
        </is>
      </c>
      <c r="O210" s="2" t="inlineStr">
        <is>
          <t>PH-03</t>
        </is>
      </c>
      <c r="P210" s="2" t="inlineStr">
        <is>
          <t>CIN-T-026</t>
        </is>
      </c>
    </row>
    <row r="211">
      <c r="A211" s="2" t="inlineStr">
        <is>
          <t>Sub-task</t>
        </is>
      </c>
      <c r="B211" s="2" t="inlineStr">
        <is>
          <t>CIN-SUB-156</t>
        </is>
      </c>
      <c r="C211" s="2" t="inlineStr">
        <is>
          <t>CIN-T-026</t>
        </is>
      </c>
      <c r="D211" s="2" t="inlineStr">
        <is>
          <t>Trang Booking History</t>
        </is>
      </c>
      <c r="E211" s="2" t="inlineStr">
        <is>
          <t>Original Row ID: ORIG-156. Original task: Trang Booking History. Original description: Lịch sử đặt vé.</t>
        </is>
      </c>
      <c r="F211" s="2" t="inlineStr">
        <is>
          <t>24120271</t>
        </is>
      </c>
      <c r="G211" s="2" t="inlineStr">
        <is>
          <t>Nguyen Trung Chinh</t>
        </is>
      </c>
      <c r="H211" s="2" t="inlineStr">
        <is>
          <t>Sprint 4</t>
        </is>
      </c>
      <c r="I211" s="3" t="n">
        <v>46340</v>
      </c>
      <c r="J211" s="3" t="n">
        <v>46353</v>
      </c>
      <c r="K211" s="2" t="inlineStr">
        <is>
          <t>High</t>
        </is>
      </c>
      <c r="L211" s="2" t="inlineStr">
        <is>
          <t>subtask,PH-03,orig-156</t>
        </is>
      </c>
      <c r="M211" s="2" t="inlineStr">
        <is>
          <t>ORIG-156</t>
        </is>
      </c>
      <c r="N211" s="2" t="inlineStr">
        <is>
          <t>CIN-T-025, CIN-T-022, CIN-T-023, CIN-T-024</t>
        </is>
      </c>
      <c r="O211" s="2" t="inlineStr">
        <is>
          <t>PH-03</t>
        </is>
      </c>
      <c r="P211" s="2" t="inlineStr">
        <is>
          <t>CIN-T-026</t>
        </is>
      </c>
    </row>
    <row r="212">
      <c r="A212" s="2" t="inlineStr">
        <is>
          <t>Sub-task</t>
        </is>
      </c>
      <c r="B212" s="2" t="inlineStr">
        <is>
          <t>CIN-SUB-157</t>
        </is>
      </c>
      <c r="C212" s="2" t="inlineStr">
        <is>
          <t>CIN-T-026</t>
        </is>
      </c>
      <c r="D212" s="2" t="inlineStr">
        <is>
          <t>Trang Profile</t>
        </is>
      </c>
      <c r="E212" s="2" t="inlineStr">
        <is>
          <t>Original Row ID: ORIG-157. Original task: Trang Profile. Original description: Thông tin tài khoản.</t>
        </is>
      </c>
      <c r="F212" s="2" t="inlineStr">
        <is>
          <t>24120244</t>
        </is>
      </c>
      <c r="G212" s="2" t="inlineStr">
        <is>
          <t>Phan Van Viet</t>
        </is>
      </c>
      <c r="H212" s="2" t="inlineStr">
        <is>
          <t>Sprint 4</t>
        </is>
      </c>
      <c r="I212" s="3" t="n">
        <v>46340</v>
      </c>
      <c r="J212" s="3" t="n">
        <v>46353</v>
      </c>
      <c r="K212" s="2" t="inlineStr">
        <is>
          <t>High</t>
        </is>
      </c>
      <c r="L212" s="2" t="inlineStr">
        <is>
          <t>subtask,PH-03,orig-157</t>
        </is>
      </c>
      <c r="M212" s="2" t="inlineStr">
        <is>
          <t>ORIG-157</t>
        </is>
      </c>
      <c r="N212" s="2" t="inlineStr">
        <is>
          <t>CIN-T-025, CIN-T-022, CIN-T-023, CIN-T-024</t>
        </is>
      </c>
      <c r="O212" s="2" t="inlineStr">
        <is>
          <t>PH-03</t>
        </is>
      </c>
      <c r="P212" s="2" t="inlineStr">
        <is>
          <t>CIN-T-026</t>
        </is>
      </c>
    </row>
    <row r="213">
      <c r="A213" s="2" t="inlineStr">
        <is>
          <t>Sub-task</t>
        </is>
      </c>
      <c r="B213" s="2" t="inlineStr">
        <is>
          <t>CIN-SUB-158</t>
        </is>
      </c>
      <c r="C213" s="2" t="inlineStr">
        <is>
          <t>CIN-T-027</t>
        </is>
      </c>
      <c r="D213" s="2" t="inlineStr">
        <is>
          <t>API Client</t>
        </is>
      </c>
      <c r="E213" s="2" t="inlineStr">
        <is>
          <t>Original Row ID: ORIG-158. Original task: API Client. Original description: Xây dựng lớp gọi Backend API.</t>
        </is>
      </c>
      <c r="F213" s="2" t="inlineStr">
        <is>
          <t>24120098</t>
        </is>
      </c>
      <c r="G213" s="2" t="inlineStr">
        <is>
          <t>Nguyen Quoc Nam</t>
        </is>
      </c>
      <c r="H213" s="2" t="inlineStr">
        <is>
          <t>Sprint 4</t>
        </is>
      </c>
      <c r="I213" s="3" t="n">
        <v>46340</v>
      </c>
      <c r="J213" s="3" t="n">
        <v>46353</v>
      </c>
      <c r="K213" s="2" t="inlineStr">
        <is>
          <t>High</t>
        </is>
      </c>
      <c r="L213" s="2" t="inlineStr">
        <is>
          <t>subtask,PH-03,orig-158</t>
        </is>
      </c>
      <c r="M213" s="2" t="inlineStr">
        <is>
          <t>ORIG-158</t>
        </is>
      </c>
      <c r="N213" s="2" t="inlineStr">
        <is>
          <t>CIN-T-026, CIN-T-016, CIN-T-019</t>
        </is>
      </c>
      <c r="O213" s="2" t="inlineStr">
        <is>
          <t>PH-03</t>
        </is>
      </c>
      <c r="P213" s="2" t="inlineStr">
        <is>
          <t>CIN-T-027</t>
        </is>
      </c>
    </row>
    <row r="214">
      <c r="A214" s="2" t="inlineStr">
        <is>
          <t>Sub-task</t>
        </is>
      </c>
      <c r="B214" s="2" t="inlineStr">
        <is>
          <t>CIN-SUB-159</t>
        </is>
      </c>
      <c r="C214" s="2" t="inlineStr">
        <is>
          <t>CIN-T-027</t>
        </is>
      </c>
      <c r="D214" s="2" t="inlineStr">
        <is>
          <t>Authentication Integration</t>
        </is>
      </c>
      <c r="E214" s="2" t="inlineStr">
        <is>
          <t>Original Row ID: ORIG-159. Original task: Authentication Integration. Original description: Lưu và gửi authentication token.</t>
        </is>
      </c>
      <c r="F214" s="2" t="inlineStr">
        <is>
          <t>24120255</t>
        </is>
      </c>
      <c r="G214" s="2" t="inlineStr">
        <is>
          <t>Tran Thien An</t>
        </is>
      </c>
      <c r="H214" s="2" t="inlineStr">
        <is>
          <t>Sprint 4</t>
        </is>
      </c>
      <c r="I214" s="3" t="n">
        <v>46340</v>
      </c>
      <c r="J214" s="3" t="n">
        <v>46353</v>
      </c>
      <c r="K214" s="2" t="inlineStr">
        <is>
          <t>High</t>
        </is>
      </c>
      <c r="L214" s="2" t="inlineStr">
        <is>
          <t>subtask,PH-03,orig-159</t>
        </is>
      </c>
      <c r="M214" s="2" t="inlineStr">
        <is>
          <t>ORIG-159</t>
        </is>
      </c>
      <c r="N214" s="2" t="inlineStr">
        <is>
          <t>CIN-T-026, CIN-T-016, CIN-T-019</t>
        </is>
      </c>
      <c r="O214" s="2" t="inlineStr">
        <is>
          <t>PH-03</t>
        </is>
      </c>
      <c r="P214" s="2" t="inlineStr">
        <is>
          <t>CIN-T-027</t>
        </is>
      </c>
    </row>
    <row r="215">
      <c r="A215" s="2" t="inlineStr">
        <is>
          <t>Sub-task</t>
        </is>
      </c>
      <c r="B215" s="2" t="inlineStr">
        <is>
          <t>CIN-SUB-160</t>
        </is>
      </c>
      <c r="C215" s="2" t="inlineStr">
        <is>
          <t>CIN-T-027</t>
        </is>
      </c>
      <c r="D215" s="2" t="inlineStr">
        <is>
          <t>Loading State</t>
        </is>
      </c>
      <c r="E215" s="2" t="inlineStr">
        <is>
          <t>Original Row ID: ORIG-160. Original task: Loading State. Original description: Xử lý trạng thái đang tải.</t>
        </is>
      </c>
      <c r="F215" s="2" t="inlineStr">
        <is>
          <t>24120235</t>
        </is>
      </c>
      <c r="G215" s="2" t="inlineStr">
        <is>
          <t>Huynh Thanh Tu</t>
        </is>
      </c>
      <c r="H215" s="2" t="inlineStr">
        <is>
          <t>Sprint 4</t>
        </is>
      </c>
      <c r="I215" s="3" t="n">
        <v>46340</v>
      </c>
      <c r="J215" s="3" t="n">
        <v>46353</v>
      </c>
      <c r="K215" s="2" t="inlineStr">
        <is>
          <t>High</t>
        </is>
      </c>
      <c r="L215" s="2" t="inlineStr">
        <is>
          <t>subtask,PH-03,orig-160</t>
        </is>
      </c>
      <c r="M215" s="2" t="inlineStr">
        <is>
          <t>ORIG-160</t>
        </is>
      </c>
      <c r="N215" s="2" t="inlineStr">
        <is>
          <t>CIN-T-026, CIN-T-016, CIN-T-019</t>
        </is>
      </c>
      <c r="O215" s="2" t="inlineStr">
        <is>
          <t>PH-03</t>
        </is>
      </c>
      <c r="P215" s="2" t="inlineStr">
        <is>
          <t>CIN-T-027</t>
        </is>
      </c>
    </row>
    <row r="216">
      <c r="A216" s="2" t="inlineStr">
        <is>
          <t>Sub-task</t>
        </is>
      </c>
      <c r="B216" s="2" t="inlineStr">
        <is>
          <t>CIN-SUB-161</t>
        </is>
      </c>
      <c r="C216" s="2" t="inlineStr">
        <is>
          <t>CIN-T-027</t>
        </is>
      </c>
      <c r="D216" s="2" t="inlineStr">
        <is>
          <t>Error State</t>
        </is>
      </c>
      <c r="E216" s="2" t="inlineStr">
        <is>
          <t>Original Row ID: ORIG-161. Original task: Error State. Original description: Hiển thị lỗi API.</t>
        </is>
      </c>
      <c r="F216" s="2" t="inlineStr">
        <is>
          <t>24120244</t>
        </is>
      </c>
      <c r="G216" s="2" t="inlineStr">
        <is>
          <t>Phan Van Viet</t>
        </is>
      </c>
      <c r="H216" s="2" t="inlineStr">
        <is>
          <t>Sprint 4</t>
        </is>
      </c>
      <c r="I216" s="3" t="n">
        <v>46340</v>
      </c>
      <c r="J216" s="3" t="n">
        <v>46353</v>
      </c>
      <c r="K216" s="2" t="inlineStr">
        <is>
          <t>High</t>
        </is>
      </c>
      <c r="L216" s="2" t="inlineStr">
        <is>
          <t>subtask,PH-03,orig-161</t>
        </is>
      </c>
      <c r="M216" s="2" t="inlineStr">
        <is>
          <t>ORIG-161</t>
        </is>
      </c>
      <c r="N216" s="2" t="inlineStr">
        <is>
          <t>CIN-T-026, CIN-T-016, CIN-T-019</t>
        </is>
      </c>
      <c r="O216" s="2" t="inlineStr">
        <is>
          <t>PH-03</t>
        </is>
      </c>
      <c r="P216" s="2" t="inlineStr">
        <is>
          <t>CIN-T-027</t>
        </is>
      </c>
    </row>
    <row r="217">
      <c r="A217" s="2" t="inlineStr">
        <is>
          <t>Sub-task</t>
        </is>
      </c>
      <c r="B217" s="2" t="inlineStr">
        <is>
          <t>CIN-SUB-162</t>
        </is>
      </c>
      <c r="C217" s="2" t="inlineStr">
        <is>
          <t>CIN-T-027</t>
        </is>
      </c>
      <c r="D217" s="2" t="inlineStr">
        <is>
          <t>Form Validation</t>
        </is>
      </c>
      <c r="E217" s="2" t="inlineStr">
        <is>
          <t>Original Row ID: ORIG-162. Original task: Form Validation. Original description: Validation phía Frontend.</t>
        </is>
      </c>
      <c r="F217" s="2" t="inlineStr">
        <is>
          <t>24120271</t>
        </is>
      </c>
      <c r="G217" s="2" t="inlineStr">
        <is>
          <t>Nguyen Trung Chinh</t>
        </is>
      </c>
      <c r="H217" s="2" t="inlineStr">
        <is>
          <t>Sprint 4</t>
        </is>
      </c>
      <c r="I217" s="3" t="n">
        <v>46340</v>
      </c>
      <c r="J217" s="3" t="n">
        <v>46353</v>
      </c>
      <c r="K217" s="2" t="inlineStr">
        <is>
          <t>High</t>
        </is>
      </c>
      <c r="L217" s="2" t="inlineStr">
        <is>
          <t>subtask,PH-03,orig-162</t>
        </is>
      </c>
      <c r="M217" s="2" t="inlineStr">
        <is>
          <t>ORIG-162</t>
        </is>
      </c>
      <c r="N217" s="2" t="inlineStr">
        <is>
          <t>CIN-T-026, CIN-T-016, CIN-T-019</t>
        </is>
      </c>
      <c r="O217" s="2" t="inlineStr">
        <is>
          <t>PH-03</t>
        </is>
      </c>
      <c r="P217" s="2" t="inlineStr">
        <is>
          <t>CIN-T-027</t>
        </is>
      </c>
    </row>
    <row r="218">
      <c r="A218" s="2" t="inlineStr">
        <is>
          <t>Sub-task</t>
        </is>
      </c>
      <c r="B218" s="2" t="inlineStr">
        <is>
          <t>CIN-SUB-163</t>
        </is>
      </c>
      <c r="C218" s="2" t="inlineStr">
        <is>
          <t>CIN-T-027</t>
        </is>
      </c>
      <c r="D218" s="2" t="inlineStr">
        <is>
          <t>API Validation</t>
        </is>
      </c>
      <c r="E218" s="2" t="inlineStr">
        <is>
          <t>Original Row ID: ORIG-163. Original task: API Validation. Original description: Xử lý lỗi validation từ Backend.</t>
        </is>
      </c>
      <c r="F218" s="2" t="inlineStr">
        <is>
          <t>24120235</t>
        </is>
      </c>
      <c r="G218" s="2" t="inlineStr">
        <is>
          <t>Huynh Thanh Tu</t>
        </is>
      </c>
      <c r="H218" s="2" t="inlineStr">
        <is>
          <t>Sprint 4</t>
        </is>
      </c>
      <c r="I218" s="3" t="n">
        <v>46340</v>
      </c>
      <c r="J218" s="3" t="n">
        <v>46353</v>
      </c>
      <c r="K218" s="2" t="inlineStr">
        <is>
          <t>High</t>
        </is>
      </c>
      <c r="L218" s="2" t="inlineStr">
        <is>
          <t>subtask,PH-03,orig-163</t>
        </is>
      </c>
      <c r="M218" s="2" t="inlineStr">
        <is>
          <t>ORIG-163</t>
        </is>
      </c>
      <c r="N218" s="2" t="inlineStr">
        <is>
          <t>CIN-T-026, CIN-T-016, CIN-T-019</t>
        </is>
      </c>
      <c r="O218" s="2" t="inlineStr">
        <is>
          <t>PH-03</t>
        </is>
      </c>
      <c r="P218" s="2" t="inlineStr">
        <is>
          <t>CIN-T-027</t>
        </is>
      </c>
    </row>
    <row r="219">
      <c r="A219" s="2" t="inlineStr">
        <is>
          <t>Sub-task</t>
        </is>
      </c>
      <c r="B219" s="2" t="inlineStr">
        <is>
          <t>CIN-SUB-164</t>
        </is>
      </c>
      <c r="C219" s="2" t="inlineStr">
        <is>
          <t>CIN-T-027</t>
        </is>
      </c>
      <c r="D219" s="2" t="inlineStr">
        <is>
          <t>Responsive Design</t>
        </is>
      </c>
      <c r="E219" s="2" t="inlineStr">
        <is>
          <t>Original Row ID: ORIG-164. Original task: Responsive Design. Original description: Desktop / Tablet / Mobile.</t>
        </is>
      </c>
      <c r="F219" s="2" t="inlineStr">
        <is>
          <t>24120098</t>
        </is>
      </c>
      <c r="G219" s="2" t="inlineStr">
        <is>
          <t>Nguyen Quoc Nam</t>
        </is>
      </c>
      <c r="H219" s="2" t="inlineStr">
        <is>
          <t>Sprint 4</t>
        </is>
      </c>
      <c r="I219" s="3" t="n">
        <v>46340</v>
      </c>
      <c r="J219" s="3" t="n">
        <v>46353</v>
      </c>
      <c r="K219" s="2" t="inlineStr">
        <is>
          <t>High</t>
        </is>
      </c>
      <c r="L219" s="2" t="inlineStr">
        <is>
          <t>subtask,PH-03,orig-164</t>
        </is>
      </c>
      <c r="M219" s="2" t="inlineStr">
        <is>
          <t>ORIG-164</t>
        </is>
      </c>
      <c r="N219" s="2" t="inlineStr">
        <is>
          <t>CIN-T-026, CIN-T-016, CIN-T-019</t>
        </is>
      </c>
      <c r="O219" s="2" t="inlineStr">
        <is>
          <t>PH-03</t>
        </is>
      </c>
      <c r="P219" s="2" t="inlineStr">
        <is>
          <t>CIN-T-027</t>
        </is>
      </c>
    </row>
    <row r="220">
      <c r="A220" s="2" t="inlineStr">
        <is>
          <t>Sub-task</t>
        </is>
      </c>
      <c r="B220" s="2" t="inlineStr">
        <is>
          <t>CIN-SUB-165</t>
        </is>
      </c>
      <c r="C220" s="2" t="inlineStr">
        <is>
          <t>CIN-T-027</t>
        </is>
      </c>
      <c r="D220" s="2" t="inlineStr">
        <is>
          <t>Frontend–Backend Integration</t>
        </is>
      </c>
      <c r="E220" s="2" t="inlineStr">
        <is>
          <t>Original Row ID: ORIG-165. Original task: Frontend–Backend Integration. Original description: Kết nối toàn bộ UI với API.</t>
        </is>
      </c>
      <c r="F220" s="2" t="inlineStr">
        <is>
          <t>24120255</t>
        </is>
      </c>
      <c r="G220" s="2" t="inlineStr">
        <is>
          <t>Tran Thien An</t>
        </is>
      </c>
      <c r="H220" s="2" t="inlineStr">
        <is>
          <t>Sprint 4</t>
        </is>
      </c>
      <c r="I220" s="3" t="n">
        <v>46340</v>
      </c>
      <c r="J220" s="3" t="n">
        <v>46353</v>
      </c>
      <c r="K220" s="2" t="inlineStr">
        <is>
          <t>High</t>
        </is>
      </c>
      <c r="L220" s="2" t="inlineStr">
        <is>
          <t>subtask,PH-03,orig-165</t>
        </is>
      </c>
      <c r="M220" s="2" t="inlineStr">
        <is>
          <t>ORIG-165</t>
        </is>
      </c>
      <c r="N220" s="2" t="inlineStr">
        <is>
          <t>CIN-T-026, CIN-T-016, CIN-T-019</t>
        </is>
      </c>
      <c r="O220" s="2" t="inlineStr">
        <is>
          <t>PH-03</t>
        </is>
      </c>
      <c r="P220" s="2" t="inlineStr">
        <is>
          <t>CIN-T-027</t>
        </is>
      </c>
    </row>
    <row r="221">
      <c r="A221" s="2" t="inlineStr">
        <is>
          <t>Sub-task</t>
        </is>
      </c>
      <c r="B221" s="2" t="inlineStr">
        <is>
          <t>CIN-SUB-166</t>
        </is>
      </c>
      <c r="C221" s="2" t="inlineStr">
        <is>
          <t>CIN-T-028</t>
        </is>
      </c>
      <c r="D221" s="2" t="inlineStr">
        <is>
          <t>Admin Layout</t>
        </is>
      </c>
      <c r="E221" s="2" t="inlineStr">
        <is>
          <t>Original Row ID: ORIG-166. Original task: Admin Layout. Original description: Layout quản trị.</t>
        </is>
      </c>
      <c r="F221" s="2" t="inlineStr">
        <is>
          <t>24120244</t>
        </is>
      </c>
      <c r="G221" s="2" t="inlineStr">
        <is>
          <t>Phan Van Viet</t>
        </is>
      </c>
      <c r="H221" s="2" t="inlineStr">
        <is>
          <t>Sprint 5</t>
        </is>
      </c>
      <c r="I221" s="3" t="n">
        <v>46354</v>
      </c>
      <c r="J221" s="3" t="n">
        <v>46368</v>
      </c>
      <c r="K221" s="2" t="inlineStr">
        <is>
          <t>Medium</t>
        </is>
      </c>
      <c r="L221" s="2" t="inlineStr">
        <is>
          <t>subtask,PH-04,orig-166</t>
        </is>
      </c>
      <c r="M221" s="2" t="inlineStr">
        <is>
          <t>ORIG-166</t>
        </is>
      </c>
      <c r="N221" s="2" t="inlineStr">
        <is>
          <t>CIN-T-019, CIN-T-020, CIN-T-021, CIN-T-017</t>
        </is>
      </c>
      <c r="O221" s="2" t="inlineStr">
        <is>
          <t>PH-04</t>
        </is>
      </c>
      <c r="P221" s="2" t="inlineStr">
        <is>
          <t>CIN-T-028</t>
        </is>
      </c>
    </row>
    <row r="222">
      <c r="A222" s="2" t="inlineStr">
        <is>
          <t>Sub-task</t>
        </is>
      </c>
      <c r="B222" s="2" t="inlineStr">
        <is>
          <t>CIN-SUB-167</t>
        </is>
      </c>
      <c r="C222" s="2" t="inlineStr">
        <is>
          <t>CIN-T-028</t>
        </is>
      </c>
      <c r="D222" s="2" t="inlineStr">
        <is>
          <t>Dashboard</t>
        </is>
      </c>
      <c r="E222" s="2" t="inlineStr">
        <is>
          <t>Original Row ID: ORIG-167. Original task: Dashboard. Original description: Tổng quan hệ thống.</t>
        </is>
      </c>
      <c r="F222" s="2" t="inlineStr">
        <is>
          <t>24120271</t>
        </is>
      </c>
      <c r="G222" s="2" t="inlineStr">
        <is>
          <t>Nguyen Trung Chinh</t>
        </is>
      </c>
      <c r="H222" s="2" t="inlineStr">
        <is>
          <t>Sprint 5</t>
        </is>
      </c>
      <c r="I222" s="3" t="n">
        <v>46354</v>
      </c>
      <c r="J222" s="3" t="n">
        <v>46368</v>
      </c>
      <c r="K222" s="2" t="inlineStr">
        <is>
          <t>Medium</t>
        </is>
      </c>
      <c r="L222" s="2" t="inlineStr">
        <is>
          <t>subtask,PH-04,orig-167</t>
        </is>
      </c>
      <c r="M222" s="2" t="inlineStr">
        <is>
          <t>ORIG-167</t>
        </is>
      </c>
      <c r="N222" s="2" t="inlineStr">
        <is>
          <t>CIN-T-019, CIN-T-020, CIN-T-021, CIN-T-017</t>
        </is>
      </c>
      <c r="O222" s="2" t="inlineStr">
        <is>
          <t>PH-04</t>
        </is>
      </c>
      <c r="P222" s="2" t="inlineStr">
        <is>
          <t>CIN-T-028</t>
        </is>
      </c>
    </row>
    <row r="223">
      <c r="A223" s="2" t="inlineStr">
        <is>
          <t>Sub-task</t>
        </is>
      </c>
      <c r="B223" s="2" t="inlineStr">
        <is>
          <t>CIN-SUB-168</t>
        </is>
      </c>
      <c r="C223" s="2" t="inlineStr">
        <is>
          <t>CIN-T-028</t>
        </is>
      </c>
      <c r="D223" s="2" t="inlineStr">
        <is>
          <t>Quản lý Movie</t>
        </is>
      </c>
      <c r="E223" s="2" t="inlineStr">
        <is>
          <t>Original Row ID: ORIG-168. Original task: Quản lý Movie. Original description: CRUD Movie / Genre.</t>
        </is>
      </c>
      <c r="F223" s="2" t="inlineStr">
        <is>
          <t>24120235</t>
        </is>
      </c>
      <c r="G223" s="2" t="inlineStr">
        <is>
          <t>Huynh Thanh Tu</t>
        </is>
      </c>
      <c r="H223" s="2" t="inlineStr">
        <is>
          <t>Sprint 5</t>
        </is>
      </c>
      <c r="I223" s="3" t="n">
        <v>46354</v>
      </c>
      <c r="J223" s="3" t="n">
        <v>46368</v>
      </c>
      <c r="K223" s="2" t="inlineStr">
        <is>
          <t>Medium</t>
        </is>
      </c>
      <c r="L223" s="2" t="inlineStr">
        <is>
          <t>subtask,PH-04,orig-168</t>
        </is>
      </c>
      <c r="M223" s="2" t="inlineStr">
        <is>
          <t>ORIG-168</t>
        </is>
      </c>
      <c r="N223" s="2" t="inlineStr">
        <is>
          <t>CIN-T-019, CIN-T-020, CIN-T-021, CIN-T-017</t>
        </is>
      </c>
      <c r="O223" s="2" t="inlineStr">
        <is>
          <t>PH-04</t>
        </is>
      </c>
      <c r="P223" s="2" t="inlineStr">
        <is>
          <t>CIN-T-028</t>
        </is>
      </c>
    </row>
    <row r="224">
      <c r="A224" s="2" t="inlineStr">
        <is>
          <t>Sub-task</t>
        </is>
      </c>
      <c r="B224" s="2" t="inlineStr">
        <is>
          <t>CIN-SUB-169</t>
        </is>
      </c>
      <c r="C224" s="2" t="inlineStr">
        <is>
          <t>CIN-T-028</t>
        </is>
      </c>
      <c r="D224" s="2" t="inlineStr">
        <is>
          <t>Quản lý Cinema Room</t>
        </is>
      </c>
      <c r="E224" s="2" t="inlineStr">
        <is>
          <t>Original Row ID: ORIG-169. Original task: Quản lý Cinema Room. Original description: CRUD phòng.</t>
        </is>
      </c>
      <c r="F224" s="2" t="inlineStr">
        <is>
          <t>24120244</t>
        </is>
      </c>
      <c r="G224" s="2" t="inlineStr">
        <is>
          <t>Phan Van Viet</t>
        </is>
      </c>
      <c r="H224" s="2" t="inlineStr">
        <is>
          <t>Sprint 5</t>
        </is>
      </c>
      <c r="I224" s="3" t="n">
        <v>46354</v>
      </c>
      <c r="J224" s="3" t="n">
        <v>46368</v>
      </c>
      <c r="K224" s="2" t="inlineStr">
        <is>
          <t>Medium</t>
        </is>
      </c>
      <c r="L224" s="2" t="inlineStr">
        <is>
          <t>subtask,PH-04,orig-169</t>
        </is>
      </c>
      <c r="M224" s="2" t="inlineStr">
        <is>
          <t>ORIG-169</t>
        </is>
      </c>
      <c r="N224" s="2" t="inlineStr">
        <is>
          <t>CIN-T-019, CIN-T-020, CIN-T-021, CIN-T-017</t>
        </is>
      </c>
      <c r="O224" s="2" t="inlineStr">
        <is>
          <t>PH-04</t>
        </is>
      </c>
      <c r="P224" s="2" t="inlineStr">
        <is>
          <t>CIN-T-028</t>
        </is>
      </c>
    </row>
    <row r="225">
      <c r="A225" s="2" t="inlineStr">
        <is>
          <t>Sub-task</t>
        </is>
      </c>
      <c r="B225" s="2" t="inlineStr">
        <is>
          <t>CIN-SUB-170</t>
        </is>
      </c>
      <c r="C225" s="2" t="inlineStr">
        <is>
          <t>CIN-T-028</t>
        </is>
      </c>
      <c r="D225" s="2" t="inlineStr">
        <is>
          <t>Quản lý Seat</t>
        </is>
      </c>
      <c r="E225" s="2" t="inlineStr">
        <is>
          <t>Original Row ID: ORIG-170. Original task: Quản lý Seat. Original description: Quản lý sơ đồ ghế.</t>
        </is>
      </c>
      <c r="F225" s="2" t="inlineStr">
        <is>
          <t>24120271</t>
        </is>
      </c>
      <c r="G225" s="2" t="inlineStr">
        <is>
          <t>Nguyen Trung Chinh</t>
        </is>
      </c>
      <c r="H225" s="2" t="inlineStr">
        <is>
          <t>Sprint 5</t>
        </is>
      </c>
      <c r="I225" s="3" t="n">
        <v>46354</v>
      </c>
      <c r="J225" s="3" t="n">
        <v>46368</v>
      </c>
      <c r="K225" s="2" t="inlineStr">
        <is>
          <t>Medium</t>
        </is>
      </c>
      <c r="L225" s="2" t="inlineStr">
        <is>
          <t>subtask,PH-04,orig-170</t>
        </is>
      </c>
      <c r="M225" s="2" t="inlineStr">
        <is>
          <t>ORIG-170</t>
        </is>
      </c>
      <c r="N225" s="2" t="inlineStr">
        <is>
          <t>CIN-T-019, CIN-T-020, CIN-T-021, CIN-T-017</t>
        </is>
      </c>
      <c r="O225" s="2" t="inlineStr">
        <is>
          <t>PH-04</t>
        </is>
      </c>
      <c r="P225" s="2" t="inlineStr">
        <is>
          <t>CIN-T-028</t>
        </is>
      </c>
    </row>
    <row r="226">
      <c r="A226" s="2" t="inlineStr">
        <is>
          <t>Sub-task</t>
        </is>
      </c>
      <c r="B226" s="2" t="inlineStr">
        <is>
          <t>CIN-SUB-171</t>
        </is>
      </c>
      <c r="C226" s="2" t="inlineStr">
        <is>
          <t>CIN-T-028</t>
        </is>
      </c>
      <c r="D226" s="2" t="inlineStr">
        <is>
          <t>Quản lý Ticket Type</t>
        </is>
      </c>
      <c r="E226" s="2" t="inlineStr">
        <is>
          <t>Original Row ID: ORIG-171. Original task: Quản lý Ticket Type. Original description: CRUD loại vé.</t>
        </is>
      </c>
      <c r="F226" s="2" t="inlineStr">
        <is>
          <t>24120235</t>
        </is>
      </c>
      <c r="G226" s="2" t="inlineStr">
        <is>
          <t>Huynh Thanh Tu</t>
        </is>
      </c>
      <c r="H226" s="2" t="inlineStr">
        <is>
          <t>Sprint 5</t>
        </is>
      </c>
      <c r="I226" s="3" t="n">
        <v>46354</v>
      </c>
      <c r="J226" s="3" t="n">
        <v>46368</v>
      </c>
      <c r="K226" s="2" t="inlineStr">
        <is>
          <t>Medium</t>
        </is>
      </c>
      <c r="L226" s="2" t="inlineStr">
        <is>
          <t>subtask,PH-04,orig-171</t>
        </is>
      </c>
      <c r="M226" s="2" t="inlineStr">
        <is>
          <t>ORIG-171</t>
        </is>
      </c>
      <c r="N226" s="2" t="inlineStr">
        <is>
          <t>CIN-T-019, CIN-T-020, CIN-T-021, CIN-T-017</t>
        </is>
      </c>
      <c r="O226" s="2" t="inlineStr">
        <is>
          <t>PH-04</t>
        </is>
      </c>
      <c r="P226" s="2" t="inlineStr">
        <is>
          <t>CIN-T-028</t>
        </is>
      </c>
    </row>
    <row r="227">
      <c r="A227" s="2" t="inlineStr">
        <is>
          <t>Sub-task</t>
        </is>
      </c>
      <c r="B227" s="2" t="inlineStr">
        <is>
          <t>CIN-SUB-172</t>
        </is>
      </c>
      <c r="C227" s="2" t="inlineStr">
        <is>
          <t>CIN-T-028</t>
        </is>
      </c>
      <c r="D227" s="2" t="inlineStr">
        <is>
          <t>Quản lý Showtime</t>
        </is>
      </c>
      <c r="E227" s="2" t="inlineStr">
        <is>
          <t>Original Row ID: ORIG-172. Original task: Quản lý Showtime. Original description: CRUD suất chiếu.</t>
        </is>
      </c>
      <c r="F227" s="2" t="inlineStr">
        <is>
          <t>24120255</t>
        </is>
      </c>
      <c r="G227" s="2" t="inlineStr">
        <is>
          <t>Tran Thien An</t>
        </is>
      </c>
      <c r="H227" s="2" t="inlineStr">
        <is>
          <t>Sprint 5</t>
        </is>
      </c>
      <c r="I227" s="3" t="n">
        <v>46354</v>
      </c>
      <c r="J227" s="3" t="n">
        <v>46368</v>
      </c>
      <c r="K227" s="2" t="inlineStr">
        <is>
          <t>Medium</t>
        </is>
      </c>
      <c r="L227" s="2" t="inlineStr">
        <is>
          <t>subtask,PH-04,orig-172</t>
        </is>
      </c>
      <c r="M227" s="2" t="inlineStr">
        <is>
          <t>ORIG-172</t>
        </is>
      </c>
      <c r="N227" s="2" t="inlineStr">
        <is>
          <t>CIN-T-019, CIN-T-020, CIN-T-021, CIN-T-017</t>
        </is>
      </c>
      <c r="O227" s="2" t="inlineStr">
        <is>
          <t>PH-04</t>
        </is>
      </c>
      <c r="P227" s="2" t="inlineStr">
        <is>
          <t>CIN-T-028</t>
        </is>
      </c>
    </row>
    <row r="228">
      <c r="A228" s="2" t="inlineStr">
        <is>
          <t>Sub-task</t>
        </is>
      </c>
      <c r="B228" s="2" t="inlineStr">
        <is>
          <t>CIN-SUB-173</t>
        </is>
      </c>
      <c r="C228" s="2" t="inlineStr">
        <is>
          <t>CIN-T-028</t>
        </is>
      </c>
      <c r="D228" s="2" t="inlineStr">
        <is>
          <t>Quản lý Booking</t>
        </is>
      </c>
      <c r="E228" s="2" t="inlineStr">
        <is>
          <t>Original Row ID: ORIG-173. Original task: Quản lý Booking. Original description: Xem / tìm kiếm / xử lý booking.</t>
        </is>
      </c>
      <c r="F228" s="2" t="inlineStr">
        <is>
          <t>24120098</t>
        </is>
      </c>
      <c r="G228" s="2" t="inlineStr">
        <is>
          <t>Nguyen Quoc Nam</t>
        </is>
      </c>
      <c r="H228" s="2" t="inlineStr">
        <is>
          <t>Sprint 5</t>
        </is>
      </c>
      <c r="I228" s="3" t="n">
        <v>46354</v>
      </c>
      <c r="J228" s="3" t="n">
        <v>46368</v>
      </c>
      <c r="K228" s="2" t="inlineStr">
        <is>
          <t>Medium</t>
        </is>
      </c>
      <c r="L228" s="2" t="inlineStr">
        <is>
          <t>subtask,PH-04,orig-173</t>
        </is>
      </c>
      <c r="M228" s="2" t="inlineStr">
        <is>
          <t>ORIG-173</t>
        </is>
      </c>
      <c r="N228" s="2" t="inlineStr">
        <is>
          <t>CIN-T-019, CIN-T-020, CIN-T-021, CIN-T-017</t>
        </is>
      </c>
      <c r="O228" s="2" t="inlineStr">
        <is>
          <t>PH-04</t>
        </is>
      </c>
      <c r="P228" s="2" t="inlineStr">
        <is>
          <t>CIN-T-028</t>
        </is>
      </c>
    </row>
    <row r="229">
      <c r="A229" s="2" t="inlineStr">
        <is>
          <t>Sub-task</t>
        </is>
      </c>
      <c r="B229" s="2" t="inlineStr">
        <is>
          <t>CIN-SUB-174</t>
        </is>
      </c>
      <c r="C229" s="2" t="inlineStr">
        <is>
          <t>CIN-T-028</t>
        </is>
      </c>
      <c r="D229" s="2" t="inlineStr">
        <is>
          <t>Quản lý Ticket</t>
        </is>
      </c>
      <c r="E229" s="2" t="inlineStr">
        <is>
          <t>Original Row ID: ORIG-174. Original task: Quản lý Ticket. Original description: Xem và xác thực vé.</t>
        </is>
      </c>
      <c r="F229" s="2" t="inlineStr">
        <is>
          <t>24120244</t>
        </is>
      </c>
      <c r="G229" s="2" t="inlineStr">
        <is>
          <t>Phan Van Viet</t>
        </is>
      </c>
      <c r="H229" s="2" t="inlineStr">
        <is>
          <t>Sprint 5</t>
        </is>
      </c>
      <c r="I229" s="3" t="n">
        <v>46354</v>
      </c>
      <c r="J229" s="3" t="n">
        <v>46368</v>
      </c>
      <c r="K229" s="2" t="inlineStr">
        <is>
          <t>Medium</t>
        </is>
      </c>
      <c r="L229" s="2" t="inlineStr">
        <is>
          <t>subtask,PH-04,orig-174</t>
        </is>
      </c>
      <c r="M229" s="2" t="inlineStr">
        <is>
          <t>ORIG-174</t>
        </is>
      </c>
      <c r="N229" s="2" t="inlineStr">
        <is>
          <t>CIN-T-019, CIN-T-020, CIN-T-021, CIN-T-017</t>
        </is>
      </c>
      <c r="O229" s="2" t="inlineStr">
        <is>
          <t>PH-04</t>
        </is>
      </c>
      <c r="P229" s="2" t="inlineStr">
        <is>
          <t>CIN-T-028</t>
        </is>
      </c>
    </row>
    <row r="230">
      <c r="A230" s="2" t="inlineStr">
        <is>
          <t>Sub-task</t>
        </is>
      </c>
      <c r="B230" s="2" t="inlineStr">
        <is>
          <t>CIN-SUB-175</t>
        </is>
      </c>
      <c r="C230" s="2" t="inlineStr">
        <is>
          <t>CIN-T-028</t>
        </is>
      </c>
      <c r="D230" s="2" t="inlineStr">
        <is>
          <t>Quản lý Payment</t>
        </is>
      </c>
      <c r="E230" s="2" t="inlineStr">
        <is>
          <t>Original Row ID: ORIG-175. Original task: Quản lý Payment. Original description: Theo dõi giao dịch.</t>
        </is>
      </c>
      <c r="F230" s="2" t="inlineStr">
        <is>
          <t>24120271</t>
        </is>
      </c>
      <c r="G230" s="2" t="inlineStr">
        <is>
          <t>Nguyen Trung Chinh</t>
        </is>
      </c>
      <c r="H230" s="2" t="inlineStr">
        <is>
          <t>Sprint 5</t>
        </is>
      </c>
      <c r="I230" s="3" t="n">
        <v>46354</v>
      </c>
      <c r="J230" s="3" t="n">
        <v>46368</v>
      </c>
      <c r="K230" s="2" t="inlineStr">
        <is>
          <t>Medium</t>
        </is>
      </c>
      <c r="L230" s="2" t="inlineStr">
        <is>
          <t>subtask,PH-04,orig-175</t>
        </is>
      </c>
      <c r="M230" s="2" t="inlineStr">
        <is>
          <t>ORIG-175</t>
        </is>
      </c>
      <c r="N230" s="2" t="inlineStr">
        <is>
          <t>CIN-T-019, CIN-T-020, CIN-T-021, CIN-T-017</t>
        </is>
      </c>
      <c r="O230" s="2" t="inlineStr">
        <is>
          <t>PH-04</t>
        </is>
      </c>
      <c r="P230" s="2" t="inlineStr">
        <is>
          <t>CIN-T-028</t>
        </is>
      </c>
    </row>
    <row r="231">
      <c r="A231" s="2" t="inlineStr">
        <is>
          <t>Sub-task</t>
        </is>
      </c>
      <c r="B231" s="2" t="inlineStr">
        <is>
          <t>CIN-SUB-176</t>
        </is>
      </c>
      <c r="C231" s="2" t="inlineStr">
        <is>
          <t>CIN-T-028</t>
        </is>
      </c>
      <c r="D231" s="2" t="inlineStr">
        <is>
          <t>Quản lý User</t>
        </is>
      </c>
      <c r="E231" s="2" t="inlineStr">
        <is>
          <t>Original Row ID: ORIG-176. Original task: Quản lý User. Original description: Quản lý tài khoản.</t>
        </is>
      </c>
      <c r="F231" s="2" t="inlineStr">
        <is>
          <t>24120255</t>
        </is>
      </c>
      <c r="G231" s="2" t="inlineStr">
        <is>
          <t>Tran Thien An</t>
        </is>
      </c>
      <c r="H231" s="2" t="inlineStr">
        <is>
          <t>Sprint 5</t>
        </is>
      </c>
      <c r="I231" s="3" t="n">
        <v>46354</v>
      </c>
      <c r="J231" s="3" t="n">
        <v>46368</v>
      </c>
      <c r="K231" s="2" t="inlineStr">
        <is>
          <t>Medium</t>
        </is>
      </c>
      <c r="L231" s="2" t="inlineStr">
        <is>
          <t>subtask,PH-04,orig-176</t>
        </is>
      </c>
      <c r="M231" s="2" t="inlineStr">
        <is>
          <t>ORIG-176</t>
        </is>
      </c>
      <c r="N231" s="2" t="inlineStr">
        <is>
          <t>CIN-T-019, CIN-T-020, CIN-T-021, CIN-T-017</t>
        </is>
      </c>
      <c r="O231" s="2" t="inlineStr">
        <is>
          <t>PH-04</t>
        </is>
      </c>
      <c r="P231" s="2" t="inlineStr">
        <is>
          <t>CIN-T-028</t>
        </is>
      </c>
    </row>
    <row r="232">
      <c r="A232" s="2" t="inlineStr">
        <is>
          <t>Sub-task</t>
        </is>
      </c>
      <c r="B232" s="2" t="inlineStr">
        <is>
          <t>CIN-SUB-177</t>
        </is>
      </c>
      <c r="C232" s="2" t="inlineStr">
        <is>
          <t>CIN-T-029</t>
        </is>
      </c>
      <c r="D232" s="2" t="inlineStr">
        <is>
          <t>Tìm kiếm phim</t>
        </is>
      </c>
      <c r="E232" s="2" t="inlineStr">
        <is>
          <t>Original Row ID: ORIG-177. Original task: Tìm kiếm phim. Original description: Theo tên phim.</t>
        </is>
      </c>
      <c r="F232" s="2" t="inlineStr">
        <is>
          <t>24120235</t>
        </is>
      </c>
      <c r="G232" s="2" t="inlineStr">
        <is>
          <t>Huynh Thanh Tu</t>
        </is>
      </c>
      <c r="H232" s="2" t="inlineStr">
        <is>
          <t>Sprint 5</t>
        </is>
      </c>
      <c r="I232" s="3" t="n">
        <v>46354</v>
      </c>
      <c r="J232" s="3" t="n">
        <v>46368</v>
      </c>
      <c r="K232" s="2" t="inlineStr">
        <is>
          <t>Medium</t>
        </is>
      </c>
      <c r="L232" s="2" t="inlineStr">
        <is>
          <t>subtask,PH-04,orig-177</t>
        </is>
      </c>
      <c r="M232" s="2" t="inlineStr">
        <is>
          <t>ORIG-177</t>
        </is>
      </c>
      <c r="N232" s="2" t="inlineStr">
        <is>
          <t>CIN-T-015, CIN-T-028</t>
        </is>
      </c>
      <c r="O232" s="2" t="inlineStr">
        <is>
          <t>PH-04</t>
        </is>
      </c>
      <c r="P232" s="2" t="inlineStr">
        <is>
          <t>CIN-T-029</t>
        </is>
      </c>
    </row>
    <row r="233">
      <c r="A233" s="2" t="inlineStr">
        <is>
          <t>Sub-task</t>
        </is>
      </c>
      <c r="B233" s="2" t="inlineStr">
        <is>
          <t>CIN-SUB-178</t>
        </is>
      </c>
      <c r="C233" s="2" t="inlineStr">
        <is>
          <t>CIN-T-029</t>
        </is>
      </c>
      <c r="D233" s="2" t="inlineStr">
        <is>
          <t>Lọc phim</t>
        </is>
      </c>
      <c r="E233" s="2" t="inlineStr">
        <is>
          <t>Original Row ID: ORIG-178. Original task: Lọc phim. Original description: Genre / Status / Release Date.</t>
        </is>
      </c>
      <c r="F233" s="2" t="inlineStr">
        <is>
          <t>24120098</t>
        </is>
      </c>
      <c r="G233" s="2" t="inlineStr">
        <is>
          <t>Nguyen Quoc Nam</t>
        </is>
      </c>
      <c r="H233" s="2" t="inlineStr">
        <is>
          <t>Sprint 5</t>
        </is>
      </c>
      <c r="I233" s="3" t="n">
        <v>46354</v>
      </c>
      <c r="J233" s="3" t="n">
        <v>46368</v>
      </c>
      <c r="K233" s="2" t="inlineStr">
        <is>
          <t>Medium</t>
        </is>
      </c>
      <c r="L233" s="2" t="inlineStr">
        <is>
          <t>subtask,PH-04,orig-178</t>
        </is>
      </c>
      <c r="M233" s="2" t="inlineStr">
        <is>
          <t>ORIG-178</t>
        </is>
      </c>
      <c r="N233" s="2" t="inlineStr">
        <is>
          <t>CIN-T-015, CIN-T-028</t>
        </is>
      </c>
      <c r="O233" s="2" t="inlineStr">
        <is>
          <t>PH-04</t>
        </is>
      </c>
      <c r="P233" s="2" t="inlineStr">
        <is>
          <t>CIN-T-029</t>
        </is>
      </c>
    </row>
    <row r="234">
      <c r="A234" s="2" t="inlineStr">
        <is>
          <t>Sub-task</t>
        </is>
      </c>
      <c r="B234" s="2" t="inlineStr">
        <is>
          <t>CIN-SUB-179</t>
        </is>
      </c>
      <c r="C234" s="2" t="inlineStr">
        <is>
          <t>CIN-T-029</t>
        </is>
      </c>
      <c r="D234" s="2" t="inlineStr">
        <is>
          <t>Lọc Showtime</t>
        </is>
      </c>
      <c r="E234" s="2" t="inlineStr">
        <is>
          <t>Original Row ID: ORIG-179. Original task: Lọc Showtime. Original description: Ngày / phim / phòng.</t>
        </is>
      </c>
      <c r="F234" s="2" t="inlineStr">
        <is>
          <t>24120255</t>
        </is>
      </c>
      <c r="G234" s="2" t="inlineStr">
        <is>
          <t>Tran Thien An</t>
        </is>
      </c>
      <c r="H234" s="2" t="inlineStr">
        <is>
          <t>Sprint 5</t>
        </is>
      </c>
      <c r="I234" s="3" t="n">
        <v>46354</v>
      </c>
      <c r="J234" s="3" t="n">
        <v>46368</v>
      </c>
      <c r="K234" s="2" t="inlineStr">
        <is>
          <t>Medium</t>
        </is>
      </c>
      <c r="L234" s="2" t="inlineStr">
        <is>
          <t>subtask,PH-04,orig-179</t>
        </is>
      </c>
      <c r="M234" s="2" t="inlineStr">
        <is>
          <t>ORIG-179</t>
        </is>
      </c>
      <c r="N234" s="2" t="inlineStr">
        <is>
          <t>CIN-T-015, CIN-T-028</t>
        </is>
      </c>
      <c r="O234" s="2" t="inlineStr">
        <is>
          <t>PH-04</t>
        </is>
      </c>
      <c r="P234" s="2" t="inlineStr">
        <is>
          <t>CIN-T-029</t>
        </is>
      </c>
    </row>
    <row r="235">
      <c r="A235" s="2" t="inlineStr">
        <is>
          <t>Sub-task</t>
        </is>
      </c>
      <c r="B235" s="2" t="inlineStr">
        <is>
          <t>CIN-SUB-180</t>
        </is>
      </c>
      <c r="C235" s="2" t="inlineStr">
        <is>
          <t>CIN-T-029</t>
        </is>
      </c>
      <c r="D235" s="2" t="inlineStr">
        <is>
          <t>Tìm kiếm Booking</t>
        </is>
      </c>
      <c r="E235" s="2" t="inlineStr">
        <is>
          <t>Original Row ID: ORIG-180. Original task: Tìm kiếm Booking. Original description: Mã booking / Customer.</t>
        </is>
      </c>
      <c r="F235" s="2" t="inlineStr">
        <is>
          <t>24120244</t>
        </is>
      </c>
      <c r="G235" s="2" t="inlineStr">
        <is>
          <t>Phan Van Viet</t>
        </is>
      </c>
      <c r="H235" s="2" t="inlineStr">
        <is>
          <t>Sprint 5</t>
        </is>
      </c>
      <c r="I235" s="3" t="n">
        <v>46354</v>
      </c>
      <c r="J235" s="3" t="n">
        <v>46368</v>
      </c>
      <c r="K235" s="2" t="inlineStr">
        <is>
          <t>Medium</t>
        </is>
      </c>
      <c r="L235" s="2" t="inlineStr">
        <is>
          <t>subtask,PH-04,orig-180</t>
        </is>
      </c>
      <c r="M235" s="2" t="inlineStr">
        <is>
          <t>ORIG-180</t>
        </is>
      </c>
      <c r="N235" s="2" t="inlineStr">
        <is>
          <t>CIN-T-015, CIN-T-028</t>
        </is>
      </c>
      <c r="O235" s="2" t="inlineStr">
        <is>
          <t>PH-04</t>
        </is>
      </c>
      <c r="P235" s="2" t="inlineStr">
        <is>
          <t>CIN-T-029</t>
        </is>
      </c>
    </row>
    <row r="236">
      <c r="A236" s="2" t="inlineStr">
        <is>
          <t>Sub-task</t>
        </is>
      </c>
      <c r="B236" s="2" t="inlineStr">
        <is>
          <t>CIN-SUB-181</t>
        </is>
      </c>
      <c r="C236" s="2" t="inlineStr">
        <is>
          <t>CIN-T-029</t>
        </is>
      </c>
      <c r="D236" s="2" t="inlineStr">
        <is>
          <t>Tìm kiếm User</t>
        </is>
      </c>
      <c r="E236" s="2" t="inlineStr">
        <is>
          <t>Original Row ID: ORIG-181. Original task: Tìm kiếm User. Original description: Tên / email / số điện thoại.</t>
        </is>
      </c>
      <c r="F236" s="2" t="inlineStr">
        <is>
          <t>24120271</t>
        </is>
      </c>
      <c r="G236" s="2" t="inlineStr">
        <is>
          <t>Nguyen Trung Chinh</t>
        </is>
      </c>
      <c r="H236" s="2" t="inlineStr">
        <is>
          <t>Sprint 5</t>
        </is>
      </c>
      <c r="I236" s="3" t="n">
        <v>46354</v>
      </c>
      <c r="J236" s="3" t="n">
        <v>46368</v>
      </c>
      <c r="K236" s="2" t="inlineStr">
        <is>
          <t>Medium</t>
        </is>
      </c>
      <c r="L236" s="2" t="inlineStr">
        <is>
          <t>subtask,PH-04,orig-181</t>
        </is>
      </c>
      <c r="M236" s="2" t="inlineStr">
        <is>
          <t>ORIG-181</t>
        </is>
      </c>
      <c r="N236" s="2" t="inlineStr">
        <is>
          <t>CIN-T-015, CIN-T-028</t>
        </is>
      </c>
      <c r="O236" s="2" t="inlineStr">
        <is>
          <t>PH-04</t>
        </is>
      </c>
      <c r="P236" s="2" t="inlineStr">
        <is>
          <t>CIN-T-029</t>
        </is>
      </c>
    </row>
    <row r="237">
      <c r="A237" s="2" t="inlineStr">
        <is>
          <t>Sub-task</t>
        </is>
      </c>
      <c r="B237" s="2" t="inlineStr">
        <is>
          <t>CIN-SUB-182</t>
        </is>
      </c>
      <c r="C237" s="2" t="inlineStr">
        <is>
          <t>CIN-T-030</t>
        </is>
      </c>
      <c r="D237" s="2" t="inlineStr">
        <is>
          <t>Dashboard Statistics</t>
        </is>
      </c>
      <c r="E237" s="2" t="inlineStr">
        <is>
          <t>Original Row ID: ORIG-182. Original task: Dashboard Statistics. Original description: Phim, phòng, suất chiếu, vé, doanh thu.</t>
        </is>
      </c>
      <c r="F237" s="2" t="inlineStr">
        <is>
          <t>24120235</t>
        </is>
      </c>
      <c r="G237" s="2" t="inlineStr">
        <is>
          <t>Huynh Thanh Tu</t>
        </is>
      </c>
      <c r="H237" s="2" t="inlineStr">
        <is>
          <t>Sprint 5</t>
        </is>
      </c>
      <c r="I237" s="3" t="n">
        <v>46354</v>
      </c>
      <c r="J237" s="3" t="n">
        <v>46368</v>
      </c>
      <c r="K237" s="2" t="inlineStr">
        <is>
          <t>Medium</t>
        </is>
      </c>
      <c r="L237" s="2" t="inlineStr">
        <is>
          <t>subtask,PH-04,orig-182</t>
        </is>
      </c>
      <c r="M237" s="2" t="inlineStr">
        <is>
          <t>ORIG-182</t>
        </is>
      </c>
      <c r="N237" s="2" t="inlineStr">
        <is>
          <t>CIN-T-017, CIN-T-023, CIN-T-024</t>
        </is>
      </c>
      <c r="O237" s="2" t="inlineStr">
        <is>
          <t>PH-04</t>
        </is>
      </c>
      <c r="P237" s="2" t="inlineStr">
        <is>
          <t>CIN-T-030</t>
        </is>
      </c>
    </row>
    <row r="238">
      <c r="A238" s="2" t="inlineStr">
        <is>
          <t>Sub-task</t>
        </is>
      </c>
      <c r="B238" s="2" t="inlineStr">
        <is>
          <t>CIN-SUB-183</t>
        </is>
      </c>
      <c r="C238" s="2" t="inlineStr">
        <is>
          <t>CIN-T-030</t>
        </is>
      </c>
      <c r="D238" s="2" t="inlineStr">
        <is>
          <t>Thống kê doanh thu</t>
        </is>
      </c>
      <c r="E238" s="2" t="inlineStr">
        <is>
          <t>Original Row ID: ORIG-183. Original task: Thống kê doanh thu. Original description: Ngày / tháng / năm.</t>
        </is>
      </c>
      <c r="F238" s="2" t="inlineStr">
        <is>
          <t>24120098</t>
        </is>
      </c>
      <c r="G238" s="2" t="inlineStr">
        <is>
          <t>Nguyen Quoc Nam</t>
        </is>
      </c>
      <c r="H238" s="2" t="inlineStr">
        <is>
          <t>Sprint 5</t>
        </is>
      </c>
      <c r="I238" s="3" t="n">
        <v>46354</v>
      </c>
      <c r="J238" s="3" t="n">
        <v>46368</v>
      </c>
      <c r="K238" s="2" t="inlineStr">
        <is>
          <t>Medium</t>
        </is>
      </c>
      <c r="L238" s="2" t="inlineStr">
        <is>
          <t>subtask,PH-04,orig-183</t>
        </is>
      </c>
      <c r="M238" s="2" t="inlineStr">
        <is>
          <t>ORIG-183</t>
        </is>
      </c>
      <c r="N238" s="2" t="inlineStr">
        <is>
          <t>CIN-T-017, CIN-T-023, CIN-T-024</t>
        </is>
      </c>
      <c r="O238" s="2" t="inlineStr">
        <is>
          <t>PH-04</t>
        </is>
      </c>
      <c r="P238" s="2" t="inlineStr">
        <is>
          <t>CIN-T-030</t>
        </is>
      </c>
    </row>
    <row r="239">
      <c r="A239" s="2" t="inlineStr">
        <is>
          <t>Sub-task</t>
        </is>
      </c>
      <c r="B239" s="2" t="inlineStr">
        <is>
          <t>CIN-SUB-184</t>
        </is>
      </c>
      <c r="C239" s="2" t="inlineStr">
        <is>
          <t>CIN-T-030</t>
        </is>
      </c>
      <c r="D239" s="2" t="inlineStr">
        <is>
          <t>Thống kê vé</t>
        </is>
      </c>
      <c r="E239" s="2" t="inlineStr">
        <is>
          <t>Original Row ID: ORIG-184. Original task: Thống kê vé. Original description: Số vé bán / hủy / sử dụng.</t>
        </is>
      </c>
      <c r="F239" s="2" t="inlineStr">
        <is>
          <t>24120255</t>
        </is>
      </c>
      <c r="G239" s="2" t="inlineStr">
        <is>
          <t>Tran Thien An</t>
        </is>
      </c>
      <c r="H239" s="2" t="inlineStr">
        <is>
          <t>Sprint 5</t>
        </is>
      </c>
      <c r="I239" s="3" t="n">
        <v>46354</v>
      </c>
      <c r="J239" s="3" t="n">
        <v>46368</v>
      </c>
      <c r="K239" s="2" t="inlineStr">
        <is>
          <t>Medium</t>
        </is>
      </c>
      <c r="L239" s="2" t="inlineStr">
        <is>
          <t>subtask,PH-04,orig-184</t>
        </is>
      </c>
      <c r="M239" s="2" t="inlineStr">
        <is>
          <t>ORIG-184</t>
        </is>
      </c>
      <c r="N239" s="2" t="inlineStr">
        <is>
          <t>CIN-T-017, CIN-T-023, CIN-T-024</t>
        </is>
      </c>
      <c r="O239" s="2" t="inlineStr">
        <is>
          <t>PH-04</t>
        </is>
      </c>
      <c r="P239" s="2" t="inlineStr">
        <is>
          <t>CIN-T-030</t>
        </is>
      </c>
    </row>
    <row r="240">
      <c r="A240" s="2" t="inlineStr">
        <is>
          <t>Sub-task</t>
        </is>
      </c>
      <c r="B240" s="2" t="inlineStr">
        <is>
          <t>CIN-SUB-185</t>
        </is>
      </c>
      <c r="C240" s="2" t="inlineStr">
        <is>
          <t>CIN-T-030</t>
        </is>
      </c>
      <c r="D240" s="2" t="inlineStr">
        <is>
          <t>Thống kê phim</t>
        </is>
      </c>
      <c r="E240" s="2" t="inlineStr">
        <is>
          <t>Original Row ID: ORIG-185. Original task: Thống kê phim. Original description: Lượt đặt / doanh thu theo phim.</t>
        </is>
      </c>
      <c r="F240" s="2" t="inlineStr">
        <is>
          <t>24120271</t>
        </is>
      </c>
      <c r="G240" s="2" t="inlineStr">
        <is>
          <t>Nguyen Trung Chinh</t>
        </is>
      </c>
      <c r="H240" s="2" t="inlineStr">
        <is>
          <t>Sprint 5</t>
        </is>
      </c>
      <c r="I240" s="3" t="n">
        <v>46354</v>
      </c>
      <c r="J240" s="3" t="n">
        <v>46368</v>
      </c>
      <c r="K240" s="2" t="inlineStr">
        <is>
          <t>Medium</t>
        </is>
      </c>
      <c r="L240" s="2" t="inlineStr">
        <is>
          <t>subtask,PH-04,orig-185</t>
        </is>
      </c>
      <c r="M240" s="2" t="inlineStr">
        <is>
          <t>ORIG-185</t>
        </is>
      </c>
      <c r="N240" s="2" t="inlineStr">
        <is>
          <t>CIN-T-017, CIN-T-023, CIN-T-024</t>
        </is>
      </c>
      <c r="O240" s="2" t="inlineStr">
        <is>
          <t>PH-04</t>
        </is>
      </c>
      <c r="P240" s="2" t="inlineStr">
        <is>
          <t>CIN-T-030</t>
        </is>
      </c>
    </row>
    <row r="241">
      <c r="A241" s="2" t="inlineStr">
        <is>
          <t>Sub-task</t>
        </is>
      </c>
      <c r="B241" s="2" t="inlineStr">
        <is>
          <t>CIN-SUB-186</t>
        </is>
      </c>
      <c r="C241" s="2" t="inlineStr">
        <is>
          <t>CIN-T-030</t>
        </is>
      </c>
      <c r="D241" s="2" t="inlineStr">
        <is>
          <t>Thống kê suất chiếu</t>
        </is>
      </c>
      <c r="E241" s="2" t="inlineStr">
        <is>
          <t>Original Row ID: ORIG-186. Original task: Thống kê suất chiếu. Original description: Số vé và tỷ lệ lấp đầy.</t>
        </is>
      </c>
      <c r="F241" s="2" t="inlineStr">
        <is>
          <t>24120235</t>
        </is>
      </c>
      <c r="G241" s="2" t="inlineStr">
        <is>
          <t>Huynh Thanh Tu</t>
        </is>
      </c>
      <c r="H241" s="2" t="inlineStr">
        <is>
          <t>Sprint 5</t>
        </is>
      </c>
      <c r="I241" s="3" t="n">
        <v>46354</v>
      </c>
      <c r="J241" s="3" t="n">
        <v>46368</v>
      </c>
      <c r="K241" s="2" t="inlineStr">
        <is>
          <t>Medium</t>
        </is>
      </c>
      <c r="L241" s="2" t="inlineStr">
        <is>
          <t>subtask,PH-04,orig-186</t>
        </is>
      </c>
      <c r="M241" s="2" t="inlineStr">
        <is>
          <t>ORIG-186</t>
        </is>
      </c>
      <c r="N241" s="2" t="inlineStr">
        <is>
          <t>CIN-T-017, CIN-T-023, CIN-T-024</t>
        </is>
      </c>
      <c r="O241" s="2" t="inlineStr">
        <is>
          <t>PH-04</t>
        </is>
      </c>
      <c r="P241" s="2" t="inlineStr">
        <is>
          <t>CIN-T-030</t>
        </is>
      </c>
    </row>
    <row r="242">
      <c r="A242" s="2" t="inlineStr">
        <is>
          <t>Sub-task</t>
        </is>
      </c>
      <c r="B242" s="2" t="inlineStr">
        <is>
          <t>CIN-SUB-187</t>
        </is>
      </c>
      <c r="C242" s="2" t="inlineStr">
        <is>
          <t>CIN-T-030</t>
        </is>
      </c>
      <c r="D242" s="2" t="inlineStr">
        <is>
          <t>Thống kê phòng</t>
        </is>
      </c>
      <c r="E242" s="2" t="inlineStr">
        <is>
          <t>Original Row ID: ORIG-187. Original task: Thống kê phòng. Original description: Tỷ lệ sử dụng phòng / ghế.</t>
        </is>
      </c>
      <c r="F242" s="2" t="inlineStr">
        <is>
          <t>24120244</t>
        </is>
      </c>
      <c r="G242" s="2" t="inlineStr">
        <is>
          <t>Phan Van Viet</t>
        </is>
      </c>
      <c r="H242" s="2" t="inlineStr">
        <is>
          <t>Sprint 5</t>
        </is>
      </c>
      <c r="I242" s="3" t="n">
        <v>46354</v>
      </c>
      <c r="J242" s="3" t="n">
        <v>46368</v>
      </c>
      <c r="K242" s="2" t="inlineStr">
        <is>
          <t>Medium</t>
        </is>
      </c>
      <c r="L242" s="2" t="inlineStr">
        <is>
          <t>subtask,PH-04,orig-187</t>
        </is>
      </c>
      <c r="M242" s="2" t="inlineStr">
        <is>
          <t>ORIG-187</t>
        </is>
      </c>
      <c r="N242" s="2" t="inlineStr">
        <is>
          <t>CIN-T-017, CIN-T-023, CIN-T-024</t>
        </is>
      </c>
      <c r="O242" s="2" t="inlineStr">
        <is>
          <t>PH-04</t>
        </is>
      </c>
      <c r="P242" s="2" t="inlineStr">
        <is>
          <t>CIN-T-030</t>
        </is>
      </c>
    </row>
    <row r="243">
      <c r="A243" s="2" t="inlineStr">
        <is>
          <t>Sub-task</t>
        </is>
      </c>
      <c r="B243" s="2" t="inlineStr">
        <is>
          <t>CIN-SUB-188</t>
        </is>
      </c>
      <c r="C243" s="2" t="inlineStr">
        <is>
          <t>CIN-T-030</t>
        </is>
      </c>
      <c r="D243" s="2" t="inlineStr">
        <is>
          <t>Report Export</t>
        </is>
      </c>
      <c r="E243" s="2" t="inlineStr">
        <is>
          <t>Original Row ID: ORIG-188. Original task: Report Export. Original description: Export CSV / Excel / PDF nếu cần.</t>
        </is>
      </c>
      <c r="F243" s="2" t="inlineStr">
        <is>
          <t>24120098</t>
        </is>
      </c>
      <c r="G243" s="2" t="inlineStr">
        <is>
          <t>Nguyen Quoc Nam</t>
        </is>
      </c>
      <c r="H243" s="2" t="inlineStr">
        <is>
          <t>Sprint 5</t>
        </is>
      </c>
      <c r="I243" s="3" t="n">
        <v>46354</v>
      </c>
      <c r="J243" s="3" t="n">
        <v>46368</v>
      </c>
      <c r="K243" s="2" t="inlineStr">
        <is>
          <t>Medium</t>
        </is>
      </c>
      <c r="L243" s="2" t="inlineStr">
        <is>
          <t>subtask,PH-04,orig-188</t>
        </is>
      </c>
      <c r="M243" s="2" t="inlineStr">
        <is>
          <t>ORIG-188</t>
        </is>
      </c>
      <c r="N243" s="2" t="inlineStr">
        <is>
          <t>CIN-T-017, CIN-T-023, CIN-T-024</t>
        </is>
      </c>
      <c r="O243" s="2" t="inlineStr">
        <is>
          <t>PH-04</t>
        </is>
      </c>
      <c r="P243" s="2" t="inlineStr">
        <is>
          <t>CIN-T-030</t>
        </is>
      </c>
    </row>
    <row r="244">
      <c r="A244" s="2" t="inlineStr">
        <is>
          <t>Sub-task</t>
        </is>
      </c>
      <c r="B244" s="2" t="inlineStr">
        <is>
          <t>CIN-SUB-189</t>
        </is>
      </c>
      <c r="C244" s="2" t="inlineStr">
        <is>
          <t>CIN-T-031</t>
        </is>
      </c>
      <c r="D244" s="2" t="inlineStr">
        <is>
          <t>Xác định chức năng AI</t>
        </is>
      </c>
      <c r="E244" s="2" t="inlineStr">
        <is>
          <t>Original Row ID: ORIG-189. Original task: Xác định chức năng AI. Original description: Xác định AI được sử dụng ở đâu và mục đích gì.</t>
        </is>
      </c>
      <c r="F244" s="2" t="inlineStr">
        <is>
          <t>24120255</t>
        </is>
      </c>
      <c r="G244" s="2" t="inlineStr">
        <is>
          <t>Tran Thien An</t>
        </is>
      </c>
      <c r="H244" s="2" t="inlineStr">
        <is>
          <t>Sprint 5</t>
        </is>
      </c>
      <c r="I244" s="3" t="n">
        <v>46354</v>
      </c>
      <c r="J244" s="3" t="n">
        <v>46368</v>
      </c>
      <c r="K244" s="2" t="inlineStr">
        <is>
          <t>Low</t>
        </is>
      </c>
      <c r="L244" s="2" t="inlineStr">
        <is>
          <t>subtask,PH-04,orig-189</t>
        </is>
      </c>
      <c r="M244" s="2" t="inlineStr">
        <is>
          <t>ORIG-189</t>
        </is>
      </c>
      <c r="N244" s="2" t="inlineStr">
        <is>
          <t>CIN-T-025, CIN-T-029</t>
        </is>
      </c>
      <c r="O244" s="2" t="inlineStr">
        <is>
          <t>PH-04</t>
        </is>
      </c>
      <c r="P244" s="2" t="inlineStr">
        <is>
          <t>CIN-T-031</t>
        </is>
      </c>
    </row>
    <row r="245">
      <c r="A245" s="2" t="inlineStr">
        <is>
          <t>Sub-task</t>
        </is>
      </c>
      <c r="B245" s="2" t="inlineStr">
        <is>
          <t>CIN-SUB-190</t>
        </is>
      </c>
      <c r="C245" s="2" t="inlineStr">
        <is>
          <t>CIN-T-031</t>
        </is>
      </c>
      <c r="D245" s="2" t="inlineStr">
        <is>
          <t>AI Movie Assistant</t>
        </is>
      </c>
      <c r="E245" s="2" t="inlineStr">
        <is>
          <t>Original Row ID: ORIG-190. Original task: AI Movie Assistant. Original description: Chatbot hỗ trợ tìm hiểu phim / lịch chiếu.</t>
        </is>
      </c>
      <c r="F245" s="2" t="inlineStr">
        <is>
          <t>24120271</t>
        </is>
      </c>
      <c r="G245" s="2" t="inlineStr">
        <is>
          <t>Nguyen Trung Chinh</t>
        </is>
      </c>
      <c r="H245" s="2" t="inlineStr">
        <is>
          <t>Sprint 5</t>
        </is>
      </c>
      <c r="I245" s="3" t="n">
        <v>46354</v>
      </c>
      <c r="J245" s="3" t="n">
        <v>46368</v>
      </c>
      <c r="K245" s="2" t="inlineStr">
        <is>
          <t>Low</t>
        </is>
      </c>
      <c r="L245" s="2" t="inlineStr">
        <is>
          <t>subtask,PH-04,orig-190</t>
        </is>
      </c>
      <c r="M245" s="2" t="inlineStr">
        <is>
          <t>ORIG-190</t>
        </is>
      </c>
      <c r="N245" s="2" t="inlineStr">
        <is>
          <t>CIN-T-025, CIN-T-029</t>
        </is>
      </c>
      <c r="O245" s="2" t="inlineStr">
        <is>
          <t>PH-04</t>
        </is>
      </c>
      <c r="P245" s="2" t="inlineStr">
        <is>
          <t>CIN-T-031</t>
        </is>
      </c>
    </row>
    <row r="246">
      <c r="A246" s="2" t="inlineStr">
        <is>
          <t>Sub-task</t>
        </is>
      </c>
      <c r="B246" s="2" t="inlineStr">
        <is>
          <t>CIN-SUB-191</t>
        </is>
      </c>
      <c r="C246" s="2" t="inlineStr">
        <is>
          <t>CIN-T-031</t>
        </is>
      </c>
      <c r="D246" s="2" t="inlineStr">
        <is>
          <t>AI Movie Recommendation</t>
        </is>
      </c>
      <c r="E246" s="2" t="inlineStr">
        <is>
          <t>Original Row ID: ORIG-191. Original task: AI Movie Recommendation. Original description: Gợi ý phim dựa trên yêu cầu người dùng nếu triển khai.</t>
        </is>
      </c>
      <c r="F246" s="2" t="inlineStr">
        <is>
          <t>24120098</t>
        </is>
      </c>
      <c r="G246" s="2" t="inlineStr">
        <is>
          <t>Nguyen Quoc Nam</t>
        </is>
      </c>
      <c r="H246" s="2" t="inlineStr">
        <is>
          <t>Sprint 5</t>
        </is>
      </c>
      <c r="I246" s="3" t="n">
        <v>46354</v>
      </c>
      <c r="J246" s="3" t="n">
        <v>46368</v>
      </c>
      <c r="K246" s="2" t="inlineStr">
        <is>
          <t>Low</t>
        </is>
      </c>
      <c r="L246" s="2" t="inlineStr">
        <is>
          <t>subtask,PH-04,orig-191</t>
        </is>
      </c>
      <c r="M246" s="2" t="inlineStr">
        <is>
          <t>ORIG-191</t>
        </is>
      </c>
      <c r="N246" s="2" t="inlineStr">
        <is>
          <t>CIN-T-025, CIN-T-029</t>
        </is>
      </c>
      <c r="O246" s="2" t="inlineStr">
        <is>
          <t>PH-04</t>
        </is>
      </c>
      <c r="P246" s="2" t="inlineStr">
        <is>
          <t>CIN-T-031</t>
        </is>
      </c>
    </row>
    <row r="247">
      <c r="A247" s="2" t="inlineStr">
        <is>
          <t>Sub-task</t>
        </is>
      </c>
      <c r="B247" s="2" t="inlineStr">
        <is>
          <t>CIN-SUB-192</t>
        </is>
      </c>
      <c r="C247" s="2" t="inlineStr">
        <is>
          <t>CIN-T-031</t>
        </is>
      </c>
      <c r="D247" s="2" t="inlineStr">
        <is>
          <t>AI API Integration</t>
        </is>
      </c>
      <c r="E247" s="2" t="inlineStr">
        <is>
          <t>Original Row ID: ORIG-192. Original task: AI API Integration. Original description: Kết nối LLM API / AI service.</t>
        </is>
      </c>
      <c r="F247" s="2" t="inlineStr">
        <is>
          <t>24120235</t>
        </is>
      </c>
      <c r="G247" s="2" t="inlineStr">
        <is>
          <t>Huynh Thanh Tu</t>
        </is>
      </c>
      <c r="H247" s="2" t="inlineStr">
        <is>
          <t>Sprint 5</t>
        </is>
      </c>
      <c r="I247" s="3" t="n">
        <v>46354</v>
      </c>
      <c r="J247" s="3" t="n">
        <v>46368</v>
      </c>
      <c r="K247" s="2" t="inlineStr">
        <is>
          <t>Low</t>
        </is>
      </c>
      <c r="L247" s="2" t="inlineStr">
        <is>
          <t>subtask,PH-04,orig-192</t>
        </is>
      </c>
      <c r="M247" s="2" t="inlineStr">
        <is>
          <t>ORIG-192</t>
        </is>
      </c>
      <c r="N247" s="2" t="inlineStr">
        <is>
          <t>CIN-T-025, CIN-T-029</t>
        </is>
      </c>
      <c r="O247" s="2" t="inlineStr">
        <is>
          <t>PH-04</t>
        </is>
      </c>
      <c r="P247" s="2" t="inlineStr">
        <is>
          <t>CIN-T-031</t>
        </is>
      </c>
    </row>
    <row r="248">
      <c r="A248" s="2" t="inlineStr">
        <is>
          <t>Sub-task</t>
        </is>
      </c>
      <c r="B248" s="2" t="inlineStr">
        <is>
          <t>CIN-SUB-193</t>
        </is>
      </c>
      <c r="C248" s="2" t="inlineStr">
        <is>
          <t>CIN-T-031</t>
        </is>
      </c>
      <c r="D248" s="2" t="inlineStr">
        <is>
          <t>AI Error Handling</t>
        </is>
      </c>
      <c r="E248" s="2" t="inlineStr">
        <is>
          <t>Original Row ID: ORIG-193. Original task: AI Error Handling. Original description: Xử lý timeout / quota / API error.</t>
        </is>
      </c>
      <c r="F248" s="2" t="inlineStr">
        <is>
          <t>24120244</t>
        </is>
      </c>
      <c r="G248" s="2" t="inlineStr">
        <is>
          <t>Phan Van Viet</t>
        </is>
      </c>
      <c r="H248" s="2" t="inlineStr">
        <is>
          <t>Sprint 5</t>
        </is>
      </c>
      <c r="I248" s="3" t="n">
        <v>46354</v>
      </c>
      <c r="J248" s="3" t="n">
        <v>46368</v>
      </c>
      <c r="K248" s="2" t="inlineStr">
        <is>
          <t>Low</t>
        </is>
      </c>
      <c r="L248" s="2" t="inlineStr">
        <is>
          <t>subtask,PH-04,orig-193</t>
        </is>
      </c>
      <c r="M248" s="2" t="inlineStr">
        <is>
          <t>ORIG-193</t>
        </is>
      </c>
      <c r="N248" s="2" t="inlineStr">
        <is>
          <t>CIN-T-025, CIN-T-029</t>
        </is>
      </c>
      <c r="O248" s="2" t="inlineStr">
        <is>
          <t>PH-04</t>
        </is>
      </c>
      <c r="P248" s="2" t="inlineStr">
        <is>
          <t>CIN-T-031</t>
        </is>
      </c>
    </row>
    <row r="249">
      <c r="A249" s="2" t="inlineStr">
        <is>
          <t>Sub-task</t>
        </is>
      </c>
      <c r="B249" s="2" t="inlineStr">
        <is>
          <t>CIN-SUB-194</t>
        </is>
      </c>
      <c r="C249" s="2" t="inlineStr">
        <is>
          <t>CIN-T-032</t>
        </is>
      </c>
      <c r="D249" s="2" t="inlineStr">
        <is>
          <t>Backend Validation</t>
        </is>
      </c>
      <c r="E249" s="2" t="inlineStr">
        <is>
          <t>Original Row ID: ORIG-194. Original task: Backend Validation. Original description: Kiểm tra dữ liệu đầu vào.</t>
        </is>
      </c>
      <c r="F249" s="2" t="inlineStr">
        <is>
          <t>24120244</t>
        </is>
      </c>
      <c r="G249" s="2" t="inlineStr">
        <is>
          <t>Phan Van Viet</t>
        </is>
      </c>
      <c r="H249" s="2" t="inlineStr">
        <is>
          <t>Sprint 4</t>
        </is>
      </c>
      <c r="I249" s="3" t="n">
        <v>46340</v>
      </c>
      <c r="J249" s="3" t="n">
        <v>46353</v>
      </c>
      <c r="K249" s="2" t="inlineStr">
        <is>
          <t>High</t>
        </is>
      </c>
      <c r="L249" s="2" t="inlineStr">
        <is>
          <t>subtask,PH-03,orig-194</t>
        </is>
      </c>
      <c r="M249" s="2" t="inlineStr">
        <is>
          <t>ORIG-194</t>
        </is>
      </c>
      <c r="N249" s="2" t="inlineStr">
        <is>
          <t>CIN-T-014, CIN-T-022, CIN-T-023</t>
        </is>
      </c>
      <c r="O249" s="2" t="inlineStr">
        <is>
          <t>PH-03</t>
        </is>
      </c>
      <c r="P249" s="2" t="inlineStr">
        <is>
          <t>CIN-T-032</t>
        </is>
      </c>
    </row>
    <row r="250">
      <c r="A250" s="2" t="inlineStr">
        <is>
          <t>Sub-task</t>
        </is>
      </c>
      <c r="B250" s="2" t="inlineStr">
        <is>
          <t>CIN-SUB-195</t>
        </is>
      </c>
      <c r="C250" s="2" t="inlineStr">
        <is>
          <t>CIN-T-032</t>
        </is>
      </c>
      <c r="D250" s="2" t="inlineStr">
        <is>
          <t>Frontend Validation</t>
        </is>
      </c>
      <c r="E250" s="2" t="inlineStr">
        <is>
          <t>Original Row ID: ORIG-195. Original task: Frontend Validation. Original description: Kiểm tra form.</t>
        </is>
      </c>
      <c r="F250" s="2" t="inlineStr">
        <is>
          <t>24120271</t>
        </is>
      </c>
      <c r="G250" s="2" t="inlineStr">
        <is>
          <t>Nguyen Trung Chinh</t>
        </is>
      </c>
      <c r="H250" s="2" t="inlineStr">
        <is>
          <t>Sprint 4</t>
        </is>
      </c>
      <c r="I250" s="3" t="n">
        <v>46340</v>
      </c>
      <c r="J250" s="3" t="n">
        <v>46353</v>
      </c>
      <c r="K250" s="2" t="inlineStr">
        <is>
          <t>High</t>
        </is>
      </c>
      <c r="L250" s="2" t="inlineStr">
        <is>
          <t>subtask,PH-03,orig-195</t>
        </is>
      </c>
      <c r="M250" s="2" t="inlineStr">
        <is>
          <t>ORIG-195</t>
        </is>
      </c>
      <c r="N250" s="2" t="inlineStr">
        <is>
          <t>CIN-T-014, CIN-T-022, CIN-T-023</t>
        </is>
      </c>
      <c r="O250" s="2" t="inlineStr">
        <is>
          <t>PH-03</t>
        </is>
      </c>
      <c r="P250" s="2" t="inlineStr">
        <is>
          <t>CIN-T-032</t>
        </is>
      </c>
    </row>
    <row r="251">
      <c r="A251" s="2" t="inlineStr">
        <is>
          <t>Sub-task</t>
        </is>
      </c>
      <c r="B251" s="2" t="inlineStr">
        <is>
          <t>CIN-SUB-196</t>
        </is>
      </c>
      <c r="C251" s="2" t="inlineStr">
        <is>
          <t>CIN-T-032</t>
        </is>
      </c>
      <c r="D251" s="2" t="inlineStr">
        <is>
          <t>Global Exception Handling</t>
        </is>
      </c>
      <c r="E251" s="2" t="inlineStr">
        <is>
          <t>Original Row ID: ORIG-196. Original task: Global Exception Handling. Original description: Middleware xử lý exception.</t>
        </is>
      </c>
      <c r="F251" s="2" t="inlineStr">
        <is>
          <t>24120235</t>
        </is>
      </c>
      <c r="G251" s="2" t="inlineStr">
        <is>
          <t>Huynh Thanh Tu</t>
        </is>
      </c>
      <c r="H251" s="2" t="inlineStr">
        <is>
          <t>Sprint 4</t>
        </is>
      </c>
      <c r="I251" s="3" t="n">
        <v>46340</v>
      </c>
      <c r="J251" s="3" t="n">
        <v>46353</v>
      </c>
      <c r="K251" s="2" t="inlineStr">
        <is>
          <t>High</t>
        </is>
      </c>
      <c r="L251" s="2" t="inlineStr">
        <is>
          <t>subtask,PH-03,orig-196</t>
        </is>
      </c>
      <c r="M251" s="2" t="inlineStr">
        <is>
          <t>ORIG-196</t>
        </is>
      </c>
      <c r="N251" s="2" t="inlineStr">
        <is>
          <t>CIN-T-014, CIN-T-022, CIN-T-023</t>
        </is>
      </c>
      <c r="O251" s="2" t="inlineStr">
        <is>
          <t>PH-03</t>
        </is>
      </c>
      <c r="P251" s="2" t="inlineStr">
        <is>
          <t>CIN-T-032</t>
        </is>
      </c>
    </row>
    <row r="252">
      <c r="A252" s="2" t="inlineStr">
        <is>
          <t>Sub-task</t>
        </is>
      </c>
      <c r="B252" s="2" t="inlineStr">
        <is>
          <t>CIN-SUB-197</t>
        </is>
      </c>
      <c r="C252" s="2" t="inlineStr">
        <is>
          <t>CIN-T-032</t>
        </is>
      </c>
      <c r="D252" s="2" t="inlineStr">
        <is>
          <t>Standard Error Response</t>
        </is>
      </c>
      <c r="E252" s="2" t="inlineStr">
        <is>
          <t>Original Row ID: ORIG-197. Original task: Standard Error Response. Original description: Chuẩn hóa lỗi API.</t>
        </is>
      </c>
      <c r="F252" s="2" t="inlineStr">
        <is>
          <t>24120098</t>
        </is>
      </c>
      <c r="G252" s="2" t="inlineStr">
        <is>
          <t>Nguyen Quoc Nam</t>
        </is>
      </c>
      <c r="H252" s="2" t="inlineStr">
        <is>
          <t>Sprint 4</t>
        </is>
      </c>
      <c r="I252" s="3" t="n">
        <v>46340</v>
      </c>
      <c r="J252" s="3" t="n">
        <v>46353</v>
      </c>
      <c r="K252" s="2" t="inlineStr">
        <is>
          <t>High</t>
        </is>
      </c>
      <c r="L252" s="2" t="inlineStr">
        <is>
          <t>subtask,PH-03,orig-197</t>
        </is>
      </c>
      <c r="M252" s="2" t="inlineStr">
        <is>
          <t>ORIG-197</t>
        </is>
      </c>
      <c r="N252" s="2" t="inlineStr">
        <is>
          <t>CIN-T-014, CIN-T-022, CIN-T-023</t>
        </is>
      </c>
      <c r="O252" s="2" t="inlineStr">
        <is>
          <t>PH-03</t>
        </is>
      </c>
      <c r="P252" s="2" t="inlineStr">
        <is>
          <t>CIN-T-032</t>
        </is>
      </c>
    </row>
    <row r="253">
      <c r="A253" s="2" t="inlineStr">
        <is>
          <t>Sub-task</t>
        </is>
      </c>
      <c r="B253" s="2" t="inlineStr">
        <is>
          <t>CIN-SUB-198</t>
        </is>
      </c>
      <c r="C253" s="2" t="inlineStr">
        <is>
          <t>CIN-T-032</t>
        </is>
      </c>
      <c r="D253" s="2" t="inlineStr">
        <is>
          <t>Database Error Handling</t>
        </is>
      </c>
      <c r="E253" s="2" t="inlineStr">
        <is>
          <t>Original Row ID: ORIG-198. Original task: Database Error Handling. Original description: Connection / Constraint / Transaction.</t>
        </is>
      </c>
      <c r="F253" s="2" t="inlineStr">
        <is>
          <t>24120255</t>
        </is>
      </c>
      <c r="G253" s="2" t="inlineStr">
        <is>
          <t>Tran Thien An</t>
        </is>
      </c>
      <c r="H253" s="2" t="inlineStr">
        <is>
          <t>Sprint 4</t>
        </is>
      </c>
      <c r="I253" s="3" t="n">
        <v>46340</v>
      </c>
      <c r="J253" s="3" t="n">
        <v>46353</v>
      </c>
      <c r="K253" s="2" t="inlineStr">
        <is>
          <t>High</t>
        </is>
      </c>
      <c r="L253" s="2" t="inlineStr">
        <is>
          <t>subtask,PH-03,orig-198</t>
        </is>
      </c>
      <c r="M253" s="2" t="inlineStr">
        <is>
          <t>ORIG-198</t>
        </is>
      </c>
      <c r="N253" s="2" t="inlineStr">
        <is>
          <t>CIN-T-014, CIN-T-022, CIN-T-023</t>
        </is>
      </c>
      <c r="O253" s="2" t="inlineStr">
        <is>
          <t>PH-03</t>
        </is>
      </c>
      <c r="P253" s="2" t="inlineStr">
        <is>
          <t>CIN-T-032</t>
        </is>
      </c>
    </row>
    <row r="254">
      <c r="A254" s="2" t="inlineStr">
        <is>
          <t>Sub-task</t>
        </is>
      </c>
      <c r="B254" s="2" t="inlineStr">
        <is>
          <t>CIN-SUB-199</t>
        </is>
      </c>
      <c r="C254" s="2" t="inlineStr">
        <is>
          <t>CIN-T-032</t>
        </is>
      </c>
      <c r="D254" s="2" t="inlineStr">
        <is>
          <t>Booking Error Handling</t>
        </is>
      </c>
      <c r="E254" s="2" t="inlineStr">
        <is>
          <t>Original Row ID: ORIG-199. Original task: Booking Error Handling. Original description: Ghế đã bị đặt / hết hạn.</t>
        </is>
      </c>
      <c r="F254" s="2" t="inlineStr">
        <is>
          <t>24120244</t>
        </is>
      </c>
      <c r="G254" s="2" t="inlineStr">
        <is>
          <t>Phan Van Viet</t>
        </is>
      </c>
      <c r="H254" s="2" t="inlineStr">
        <is>
          <t>Sprint 4</t>
        </is>
      </c>
      <c r="I254" s="3" t="n">
        <v>46340</v>
      </c>
      <c r="J254" s="3" t="n">
        <v>46353</v>
      </c>
      <c r="K254" s="2" t="inlineStr">
        <is>
          <t>High</t>
        </is>
      </c>
      <c r="L254" s="2" t="inlineStr">
        <is>
          <t>subtask,PH-03,orig-199</t>
        </is>
      </c>
      <c r="M254" s="2" t="inlineStr">
        <is>
          <t>ORIG-199</t>
        </is>
      </c>
      <c r="N254" s="2" t="inlineStr">
        <is>
          <t>CIN-T-014, CIN-T-022, CIN-T-023</t>
        </is>
      </c>
      <c r="O254" s="2" t="inlineStr">
        <is>
          <t>PH-03</t>
        </is>
      </c>
      <c r="P254" s="2" t="inlineStr">
        <is>
          <t>CIN-T-032</t>
        </is>
      </c>
    </row>
    <row r="255">
      <c r="A255" s="2" t="inlineStr">
        <is>
          <t>Sub-task</t>
        </is>
      </c>
      <c r="B255" s="2" t="inlineStr">
        <is>
          <t>CIN-SUB-200</t>
        </is>
      </c>
      <c r="C255" s="2" t="inlineStr">
        <is>
          <t>CIN-T-032</t>
        </is>
      </c>
      <c r="D255" s="2" t="inlineStr">
        <is>
          <t>Payment Error Handling</t>
        </is>
      </c>
      <c r="E255" s="2" t="inlineStr">
        <is>
          <t>Original Row ID: ORIG-200. Original task: Payment Error Handling. Original description: Failed / Timeout / Invalid callback.</t>
        </is>
      </c>
      <c r="F255" s="2" t="inlineStr">
        <is>
          <t>24120271</t>
        </is>
      </c>
      <c r="G255" s="2" t="inlineStr">
        <is>
          <t>Nguyen Trung Chinh</t>
        </is>
      </c>
      <c r="H255" s="2" t="inlineStr">
        <is>
          <t>Sprint 4</t>
        </is>
      </c>
      <c r="I255" s="3" t="n">
        <v>46340</v>
      </c>
      <c r="J255" s="3" t="n">
        <v>46353</v>
      </c>
      <c r="K255" s="2" t="inlineStr">
        <is>
          <t>High</t>
        </is>
      </c>
      <c r="L255" s="2" t="inlineStr">
        <is>
          <t>subtask,PH-03,orig-200</t>
        </is>
      </c>
      <c r="M255" s="2" t="inlineStr">
        <is>
          <t>ORIG-200</t>
        </is>
      </c>
      <c r="N255" s="2" t="inlineStr">
        <is>
          <t>CIN-T-014, CIN-T-022, CIN-T-023</t>
        </is>
      </c>
      <c r="O255" s="2" t="inlineStr">
        <is>
          <t>PH-03</t>
        </is>
      </c>
      <c r="P255" s="2" t="inlineStr">
        <is>
          <t>CIN-T-032</t>
        </is>
      </c>
    </row>
    <row r="256">
      <c r="A256" s="2" t="inlineStr">
        <is>
          <t>Sub-task</t>
        </is>
      </c>
      <c r="B256" s="2" t="inlineStr">
        <is>
          <t>CIN-SUB-201</t>
        </is>
      </c>
      <c r="C256" s="2" t="inlineStr">
        <is>
          <t>CIN-T-033</t>
        </is>
      </c>
      <c r="D256" s="2" t="inlineStr">
        <is>
          <t>Password Security</t>
        </is>
      </c>
      <c r="E256" s="2" t="inlineStr">
        <is>
          <t>Original Row ID: ORIG-201. Original task: Password Security. Original description: Hash + Salt.</t>
        </is>
      </c>
      <c r="F256" s="2" t="inlineStr">
        <is>
          <t>24120255</t>
        </is>
      </c>
      <c r="G256" s="2" t="inlineStr">
        <is>
          <t>Tran Thien An</t>
        </is>
      </c>
      <c r="H256" s="2" t="inlineStr">
        <is>
          <t>Sprint 3</t>
        </is>
      </c>
      <c r="I256" s="3" t="n">
        <v>46326</v>
      </c>
      <c r="J256" s="3" t="n">
        <v>46339</v>
      </c>
      <c r="K256" s="2" t="inlineStr">
        <is>
          <t>High</t>
        </is>
      </c>
      <c r="L256" s="2" t="inlineStr">
        <is>
          <t>subtask,PH-03,orig-201</t>
        </is>
      </c>
      <c r="M256" s="2" t="inlineStr">
        <is>
          <t>ORIG-201</t>
        </is>
      </c>
      <c r="N256" s="2" t="inlineStr">
        <is>
          <t>CIN-T-019, CIN-T-014, CIN-T-012</t>
        </is>
      </c>
      <c r="O256" s="2" t="inlineStr">
        <is>
          <t>PH-03</t>
        </is>
      </c>
      <c r="P256" s="2" t="inlineStr">
        <is>
          <t>CIN-T-033</t>
        </is>
      </c>
    </row>
    <row r="257">
      <c r="A257" s="2" t="inlineStr">
        <is>
          <t>Sub-task</t>
        </is>
      </c>
      <c r="B257" s="2" t="inlineStr">
        <is>
          <t>CIN-SUB-202</t>
        </is>
      </c>
      <c r="C257" s="2" t="inlineStr">
        <is>
          <t>CIN-T-033</t>
        </is>
      </c>
      <c r="D257" s="2" t="inlineStr">
        <is>
          <t>API Security</t>
        </is>
      </c>
      <c r="E257" s="2" t="inlineStr">
        <is>
          <t>Original Row ID: ORIG-202. Original task: API Security. Original description: Authentication / Authorization.</t>
        </is>
      </c>
      <c r="F257" s="2" t="inlineStr">
        <is>
          <t>24120235</t>
        </is>
      </c>
      <c r="G257" s="2" t="inlineStr">
        <is>
          <t>Huynh Thanh Tu</t>
        </is>
      </c>
      <c r="H257" s="2" t="inlineStr">
        <is>
          <t>Sprint 3</t>
        </is>
      </c>
      <c r="I257" s="3" t="n">
        <v>46326</v>
      </c>
      <c r="J257" s="3" t="n">
        <v>46339</v>
      </c>
      <c r="K257" s="2" t="inlineStr">
        <is>
          <t>High</t>
        </is>
      </c>
      <c r="L257" s="2" t="inlineStr">
        <is>
          <t>subtask,PH-03,orig-202</t>
        </is>
      </c>
      <c r="M257" s="2" t="inlineStr">
        <is>
          <t>ORIG-202</t>
        </is>
      </c>
      <c r="N257" s="2" t="inlineStr">
        <is>
          <t>CIN-T-019, CIN-T-014, CIN-T-012</t>
        </is>
      </c>
      <c r="O257" s="2" t="inlineStr">
        <is>
          <t>PH-03</t>
        </is>
      </c>
      <c r="P257" s="2" t="inlineStr">
        <is>
          <t>CIN-T-033</t>
        </is>
      </c>
    </row>
    <row r="258">
      <c r="A258" s="2" t="inlineStr">
        <is>
          <t>Sub-task</t>
        </is>
      </c>
      <c r="B258" s="2" t="inlineStr">
        <is>
          <t>CIN-SUB-203</t>
        </is>
      </c>
      <c r="C258" s="2" t="inlineStr">
        <is>
          <t>CIN-T-033</t>
        </is>
      </c>
      <c r="D258" s="2" t="inlineStr">
        <is>
          <t>CORS</t>
        </is>
      </c>
      <c r="E258" s="2" t="inlineStr">
        <is>
          <t>Original Row ID: ORIG-203. Original task: CORS. Original description: Chỉ cho phép Frontend hợp lệ.</t>
        </is>
      </c>
      <c r="F258" s="2" t="inlineStr">
        <is>
          <t>24120244</t>
        </is>
      </c>
      <c r="G258" s="2" t="inlineStr">
        <is>
          <t>Phan Van Viet</t>
        </is>
      </c>
      <c r="H258" s="2" t="inlineStr">
        <is>
          <t>Sprint 3</t>
        </is>
      </c>
      <c r="I258" s="3" t="n">
        <v>46326</v>
      </c>
      <c r="J258" s="3" t="n">
        <v>46339</v>
      </c>
      <c r="K258" s="2" t="inlineStr">
        <is>
          <t>High</t>
        </is>
      </c>
      <c r="L258" s="2" t="inlineStr">
        <is>
          <t>subtask,PH-03,orig-203</t>
        </is>
      </c>
      <c r="M258" s="2" t="inlineStr">
        <is>
          <t>ORIG-203</t>
        </is>
      </c>
      <c r="N258" s="2" t="inlineStr">
        <is>
          <t>CIN-T-019, CIN-T-014, CIN-T-012</t>
        </is>
      </c>
      <c r="O258" s="2" t="inlineStr">
        <is>
          <t>PH-03</t>
        </is>
      </c>
      <c r="P258" s="2" t="inlineStr">
        <is>
          <t>CIN-T-033</t>
        </is>
      </c>
    </row>
    <row r="259">
      <c r="A259" s="2" t="inlineStr">
        <is>
          <t>Sub-task</t>
        </is>
      </c>
      <c r="B259" s="2" t="inlineStr">
        <is>
          <t>CIN-SUB-204</t>
        </is>
      </c>
      <c r="C259" s="2" t="inlineStr">
        <is>
          <t>CIN-T-033</t>
        </is>
      </c>
      <c r="D259" s="2" t="inlineStr">
        <is>
          <t>Input Security</t>
        </is>
      </c>
      <c r="E259" s="2" t="inlineStr">
        <is>
          <t>Original Row ID: ORIG-204. Original task: Input Security. Original description: Validation / chống dữ liệu độc hại.</t>
        </is>
      </c>
      <c r="F259" s="2" t="inlineStr">
        <is>
          <t>24120098</t>
        </is>
      </c>
      <c r="G259" s="2" t="inlineStr">
        <is>
          <t>Nguyen Quoc Nam</t>
        </is>
      </c>
      <c r="H259" s="2" t="inlineStr">
        <is>
          <t>Sprint 3</t>
        </is>
      </c>
      <c r="I259" s="3" t="n">
        <v>46326</v>
      </c>
      <c r="J259" s="3" t="n">
        <v>46339</v>
      </c>
      <c r="K259" s="2" t="inlineStr">
        <is>
          <t>High</t>
        </is>
      </c>
      <c r="L259" s="2" t="inlineStr">
        <is>
          <t>subtask,PH-03,orig-204</t>
        </is>
      </c>
      <c r="M259" s="2" t="inlineStr">
        <is>
          <t>ORIG-204</t>
        </is>
      </c>
      <c r="N259" s="2" t="inlineStr">
        <is>
          <t>CIN-T-019, CIN-T-014, CIN-T-012</t>
        </is>
      </c>
      <c r="O259" s="2" t="inlineStr">
        <is>
          <t>PH-03</t>
        </is>
      </c>
      <c r="P259" s="2" t="inlineStr">
        <is>
          <t>CIN-T-033</t>
        </is>
      </c>
    </row>
    <row r="260">
      <c r="A260" s="2" t="inlineStr">
        <is>
          <t>Sub-task</t>
        </is>
      </c>
      <c r="B260" s="2" t="inlineStr">
        <is>
          <t>CIN-SUB-205</t>
        </is>
      </c>
      <c r="C260" s="2" t="inlineStr">
        <is>
          <t>CIN-T-033</t>
        </is>
      </c>
      <c r="D260" s="2" t="inlineStr">
        <is>
          <t>SQL Injection Protection</t>
        </is>
      </c>
      <c r="E260" s="2" t="inlineStr">
        <is>
          <t>Original Row ID: ORIG-205. Original task: SQL Injection Protection. Original description: Sử dụng EF Core parameterization.</t>
        </is>
      </c>
      <c r="F260" s="2" t="inlineStr">
        <is>
          <t>24120271</t>
        </is>
      </c>
      <c r="G260" s="2" t="inlineStr">
        <is>
          <t>Nguyen Trung Chinh</t>
        </is>
      </c>
      <c r="H260" s="2" t="inlineStr">
        <is>
          <t>Sprint 3</t>
        </is>
      </c>
      <c r="I260" s="3" t="n">
        <v>46326</v>
      </c>
      <c r="J260" s="3" t="n">
        <v>46339</v>
      </c>
      <c r="K260" s="2" t="inlineStr">
        <is>
          <t>High</t>
        </is>
      </c>
      <c r="L260" s="2" t="inlineStr">
        <is>
          <t>subtask,PH-03,orig-205</t>
        </is>
      </c>
      <c r="M260" s="2" t="inlineStr">
        <is>
          <t>ORIG-205</t>
        </is>
      </c>
      <c r="N260" s="2" t="inlineStr">
        <is>
          <t>CIN-T-019, CIN-T-014, CIN-T-012</t>
        </is>
      </c>
      <c r="O260" s="2" t="inlineStr">
        <is>
          <t>PH-03</t>
        </is>
      </c>
      <c r="P260" s="2" t="inlineStr">
        <is>
          <t>CIN-T-033</t>
        </is>
      </c>
    </row>
    <row r="261">
      <c r="A261" s="2" t="inlineStr">
        <is>
          <t>Sub-task</t>
        </is>
      </c>
      <c r="B261" s="2" t="inlineStr">
        <is>
          <t>CIN-SUB-206</t>
        </is>
      </c>
      <c r="C261" s="2" t="inlineStr">
        <is>
          <t>CIN-T-033</t>
        </is>
      </c>
      <c r="D261" s="2" t="inlineStr">
        <is>
          <t>Secrets Management</t>
        </is>
      </c>
      <c r="E261" s="2" t="inlineStr">
        <is>
          <t>Original Row ID: ORIG-206. Original task: Secrets Management. Original description: Không commit JWT Secret / API Key / Password.</t>
        </is>
      </c>
      <c r="F261" s="2" t="inlineStr">
        <is>
          <t>24120244</t>
        </is>
      </c>
      <c r="G261" s="2" t="inlineStr">
        <is>
          <t>Phan Van Viet</t>
        </is>
      </c>
      <c r="H261" s="2" t="inlineStr">
        <is>
          <t>Sprint 3</t>
        </is>
      </c>
      <c r="I261" s="3" t="n">
        <v>46326</v>
      </c>
      <c r="J261" s="3" t="n">
        <v>46339</v>
      </c>
      <c r="K261" s="2" t="inlineStr">
        <is>
          <t>High</t>
        </is>
      </c>
      <c r="L261" s="2" t="inlineStr">
        <is>
          <t>subtask,PH-03,orig-206</t>
        </is>
      </c>
      <c r="M261" s="2" t="inlineStr">
        <is>
          <t>ORIG-206</t>
        </is>
      </c>
      <c r="N261" s="2" t="inlineStr">
        <is>
          <t>CIN-T-019, CIN-T-014, CIN-T-012</t>
        </is>
      </c>
      <c r="O261" s="2" t="inlineStr">
        <is>
          <t>PH-03</t>
        </is>
      </c>
      <c r="P261" s="2" t="inlineStr">
        <is>
          <t>CIN-T-033</t>
        </is>
      </c>
    </row>
    <row r="262">
      <c r="A262" s="2" t="inlineStr">
        <is>
          <t>Sub-task</t>
        </is>
      </c>
      <c r="B262" s="2" t="inlineStr">
        <is>
          <t>CIN-SUB-207</t>
        </is>
      </c>
      <c r="C262" s="2" t="inlineStr">
        <is>
          <t>CIN-T-033</t>
        </is>
      </c>
      <c r="D262" s="2" t="inlineStr">
        <is>
          <t>HTTPS</t>
        </is>
      </c>
      <c r="E262" s="2" t="inlineStr">
        <is>
          <t>Original Row ID: ORIG-207. Original task: HTTPS. Original description: Bảo vệ kết nối production.</t>
        </is>
      </c>
      <c r="F262" s="2" t="inlineStr">
        <is>
          <t>24120255</t>
        </is>
      </c>
      <c r="G262" s="2" t="inlineStr">
        <is>
          <t>Tran Thien An</t>
        </is>
      </c>
      <c r="H262" s="2" t="inlineStr">
        <is>
          <t>Sprint 3</t>
        </is>
      </c>
      <c r="I262" s="3" t="n">
        <v>46326</v>
      </c>
      <c r="J262" s="3" t="n">
        <v>46339</v>
      </c>
      <c r="K262" s="2" t="inlineStr">
        <is>
          <t>High</t>
        </is>
      </c>
      <c r="L262" s="2" t="inlineStr">
        <is>
          <t>subtask,PH-03,orig-207</t>
        </is>
      </c>
      <c r="M262" s="2" t="inlineStr">
        <is>
          <t>ORIG-207</t>
        </is>
      </c>
      <c r="N262" s="2" t="inlineStr">
        <is>
          <t>CIN-T-019, CIN-T-014, CIN-T-012</t>
        </is>
      </c>
      <c r="O262" s="2" t="inlineStr">
        <is>
          <t>PH-03</t>
        </is>
      </c>
      <c r="P262" s="2" t="inlineStr">
        <is>
          <t>CIN-T-033</t>
        </is>
      </c>
    </row>
    <row r="263">
      <c r="A263" s="2" t="inlineStr">
        <is>
          <t>Sub-task</t>
        </is>
      </c>
      <c r="B263" s="2" t="inlineStr">
        <is>
          <t>CIN-SUB-208</t>
        </is>
      </c>
      <c r="C263" s="2" t="inlineStr">
        <is>
          <t>CIN-T-034</t>
        </is>
      </c>
      <c r="D263" s="2" t="inlineStr">
        <is>
          <t>Security Headers</t>
        </is>
      </c>
      <c r="E263" s="2" t="inlineStr">
        <is>
          <t>Original Row ID: ORIG-208. Original task: Security Headers. Original description: Cấu hình các HTTP security headers cần thiết.</t>
        </is>
      </c>
      <c r="F263" s="2" t="inlineStr">
        <is>
          <t>24120255</t>
        </is>
      </c>
      <c r="G263" s="2" t="inlineStr">
        <is>
          <t>Tran Thien An</t>
        </is>
      </c>
      <c r="H263" s="2" t="inlineStr">
        <is>
          <t>Sprint 5</t>
        </is>
      </c>
      <c r="I263" s="3" t="n">
        <v>46354</v>
      </c>
      <c r="J263" s="3" t="n">
        <v>46368</v>
      </c>
      <c r="K263" s="2" t="inlineStr">
        <is>
          <t>Low</t>
        </is>
      </c>
      <c r="L263" s="2" t="inlineStr">
        <is>
          <t>subtask,PH-04,orig-208</t>
        </is>
      </c>
      <c r="M263" s="2" t="inlineStr">
        <is>
          <t>ORIG-208</t>
        </is>
      </c>
      <c r="N263" s="2" t="inlineStr">
        <is>
          <t>CIN-T-033</t>
        </is>
      </c>
      <c r="O263" s="2" t="inlineStr">
        <is>
          <t>PH-04</t>
        </is>
      </c>
      <c r="P263" s="2" t="inlineStr">
        <is>
          <t>CIN-T-034</t>
        </is>
      </c>
    </row>
    <row r="264">
      <c r="A264" s="2" t="inlineStr">
        <is>
          <t>Sub-task</t>
        </is>
      </c>
      <c r="B264" s="2" t="inlineStr">
        <is>
          <t>CIN-SUB-209</t>
        </is>
      </c>
      <c r="C264" s="2" t="inlineStr">
        <is>
          <t>CIN-T-035</t>
        </is>
      </c>
      <c r="D264" s="2" t="inlineStr">
        <is>
          <t>Unit Test</t>
        </is>
      </c>
      <c r="E264" s="2" t="inlineStr">
        <is>
          <t>Original Row ID: ORIG-209. Original task: Unit Test. Original description: Test Service / Business Logic.</t>
        </is>
      </c>
      <c r="F264" s="2" t="inlineStr">
        <is>
          <t>24120235</t>
        </is>
      </c>
      <c r="G264" s="2" t="inlineStr">
        <is>
          <t>Huynh Thanh Tu</t>
        </is>
      </c>
      <c r="H264" s="2" t="inlineStr">
        <is>
          <t>Sprint 4</t>
        </is>
      </c>
      <c r="I264" s="3" t="n">
        <v>46340</v>
      </c>
      <c r="J264" s="3" t="n">
        <v>46353</v>
      </c>
      <c r="K264" s="2" t="inlineStr">
        <is>
          <t>High</t>
        </is>
      </c>
      <c r="L264" s="2" t="inlineStr">
        <is>
          <t>subtask,PH-03,orig-209</t>
        </is>
      </c>
      <c r="M264" s="2" t="inlineStr">
        <is>
          <t>ORIG-209</t>
        </is>
      </c>
      <c r="N264" s="2" t="inlineStr">
        <is>
          <t>CIN-T-020, CIN-T-021, CIN-T-022, CIN-T-023, CIN-T-024, CIN-T-027</t>
        </is>
      </c>
      <c r="O264" s="2" t="inlineStr">
        <is>
          <t>PH-03</t>
        </is>
      </c>
      <c r="P264" s="2" t="inlineStr">
        <is>
          <t>CIN-T-035</t>
        </is>
      </c>
    </row>
    <row r="265">
      <c r="A265" s="2" t="inlineStr">
        <is>
          <t>Sub-task</t>
        </is>
      </c>
      <c r="B265" s="2" t="inlineStr">
        <is>
          <t>CIN-SUB-210</t>
        </is>
      </c>
      <c r="C265" s="2" t="inlineStr">
        <is>
          <t>CIN-T-035</t>
        </is>
      </c>
      <c r="D265" s="2" t="inlineStr">
        <is>
          <t>Integration Test</t>
        </is>
      </c>
      <c r="E265" s="2" t="inlineStr">
        <is>
          <t>Original Row ID: ORIG-210. Original task: Integration Test. Original description: Test API + Database.</t>
        </is>
      </c>
      <c r="F265" s="2" t="inlineStr">
        <is>
          <t>24120098</t>
        </is>
      </c>
      <c r="G265" s="2" t="inlineStr">
        <is>
          <t>Nguyen Quoc Nam</t>
        </is>
      </c>
      <c r="H265" s="2" t="inlineStr">
        <is>
          <t>Sprint 4</t>
        </is>
      </c>
      <c r="I265" s="3" t="n">
        <v>46340</v>
      </c>
      <c r="J265" s="3" t="n">
        <v>46353</v>
      </c>
      <c r="K265" s="2" t="inlineStr">
        <is>
          <t>High</t>
        </is>
      </c>
      <c r="L265" s="2" t="inlineStr">
        <is>
          <t>subtask,PH-03,orig-210</t>
        </is>
      </c>
      <c r="M265" s="2" t="inlineStr">
        <is>
          <t>ORIG-210</t>
        </is>
      </c>
      <c r="N265" s="2" t="inlineStr">
        <is>
          <t>CIN-T-020, CIN-T-021, CIN-T-022, CIN-T-023, CIN-T-024, CIN-T-027</t>
        </is>
      </c>
      <c r="O265" s="2" t="inlineStr">
        <is>
          <t>PH-03</t>
        </is>
      </c>
      <c r="P265" s="2" t="inlineStr">
        <is>
          <t>CIN-T-035</t>
        </is>
      </c>
    </row>
    <row r="266">
      <c r="A266" s="2" t="inlineStr">
        <is>
          <t>Sub-task</t>
        </is>
      </c>
      <c r="B266" s="2" t="inlineStr">
        <is>
          <t>CIN-SUB-211</t>
        </is>
      </c>
      <c r="C266" s="2" t="inlineStr">
        <is>
          <t>CIN-T-035</t>
        </is>
      </c>
      <c r="D266" s="2" t="inlineStr">
        <is>
          <t>Authentication Test</t>
        </is>
      </c>
      <c r="E266" s="2" t="inlineStr">
        <is>
          <t>Original Row ID: ORIG-211. Original task: Authentication Test. Original description: Login / Role / Authorization.</t>
        </is>
      </c>
      <c r="F266" s="2" t="inlineStr">
        <is>
          <t>24120255</t>
        </is>
      </c>
      <c r="G266" s="2" t="inlineStr">
        <is>
          <t>Tran Thien An</t>
        </is>
      </c>
      <c r="H266" s="2" t="inlineStr">
        <is>
          <t>Sprint 4</t>
        </is>
      </c>
      <c r="I266" s="3" t="n">
        <v>46340</v>
      </c>
      <c r="J266" s="3" t="n">
        <v>46353</v>
      </c>
      <c r="K266" s="2" t="inlineStr">
        <is>
          <t>High</t>
        </is>
      </c>
      <c r="L266" s="2" t="inlineStr">
        <is>
          <t>subtask,PH-03,orig-211</t>
        </is>
      </c>
      <c r="M266" s="2" t="inlineStr">
        <is>
          <t>ORIG-211</t>
        </is>
      </c>
      <c r="N266" s="2" t="inlineStr">
        <is>
          <t>CIN-T-020, CIN-T-021, CIN-T-022, CIN-T-023, CIN-T-024, CIN-T-027</t>
        </is>
      </c>
      <c r="O266" s="2" t="inlineStr">
        <is>
          <t>PH-03</t>
        </is>
      </c>
      <c r="P266" s="2" t="inlineStr">
        <is>
          <t>CIN-T-035</t>
        </is>
      </c>
    </row>
    <row r="267">
      <c r="A267" s="2" t="inlineStr">
        <is>
          <t>Sub-task</t>
        </is>
      </c>
      <c r="B267" s="2" t="inlineStr">
        <is>
          <t>CIN-SUB-212</t>
        </is>
      </c>
      <c r="C267" s="2" t="inlineStr">
        <is>
          <t>CIN-T-035</t>
        </is>
      </c>
      <c r="D267" s="2" t="inlineStr">
        <is>
          <t>Movie Test</t>
        </is>
      </c>
      <c r="E267" s="2" t="inlineStr">
        <is>
          <t>Original Row ID: ORIG-212. Original task: Movie Test. Original description: CRUD Movie.</t>
        </is>
      </c>
      <c r="F267" s="2" t="inlineStr">
        <is>
          <t>24120244</t>
        </is>
      </c>
      <c r="G267" s="2" t="inlineStr">
        <is>
          <t>Phan Van Viet</t>
        </is>
      </c>
      <c r="H267" s="2" t="inlineStr">
        <is>
          <t>Sprint 4</t>
        </is>
      </c>
      <c r="I267" s="3" t="n">
        <v>46340</v>
      </c>
      <c r="J267" s="3" t="n">
        <v>46353</v>
      </c>
      <c r="K267" s="2" t="inlineStr">
        <is>
          <t>High</t>
        </is>
      </c>
      <c r="L267" s="2" t="inlineStr">
        <is>
          <t>subtask,PH-03,orig-212</t>
        </is>
      </c>
      <c r="M267" s="2" t="inlineStr">
        <is>
          <t>ORIG-212</t>
        </is>
      </c>
      <c r="N267" s="2" t="inlineStr">
        <is>
          <t>CIN-T-020, CIN-T-021, CIN-T-022, CIN-T-023, CIN-T-024, CIN-T-027</t>
        </is>
      </c>
      <c r="O267" s="2" t="inlineStr">
        <is>
          <t>PH-03</t>
        </is>
      </c>
      <c r="P267" s="2" t="inlineStr">
        <is>
          <t>CIN-T-035</t>
        </is>
      </c>
    </row>
    <row r="268">
      <c r="A268" s="2" t="inlineStr">
        <is>
          <t>Sub-task</t>
        </is>
      </c>
      <c r="B268" s="2" t="inlineStr">
        <is>
          <t>CIN-SUB-213</t>
        </is>
      </c>
      <c r="C268" s="2" t="inlineStr">
        <is>
          <t>CIN-T-035</t>
        </is>
      </c>
      <c r="D268" s="2" t="inlineStr">
        <is>
          <t>Showtime Test</t>
        </is>
      </c>
      <c r="E268" s="2" t="inlineStr">
        <is>
          <t>Original Row ID: ORIG-213. Original task: Showtime Test. Original description: Tạo và kiểm tra xung đột lịch.</t>
        </is>
      </c>
      <c r="F268" s="2" t="inlineStr">
        <is>
          <t>24120271</t>
        </is>
      </c>
      <c r="G268" s="2" t="inlineStr">
        <is>
          <t>Nguyen Trung Chinh</t>
        </is>
      </c>
      <c r="H268" s="2" t="inlineStr">
        <is>
          <t>Sprint 4</t>
        </is>
      </c>
      <c r="I268" s="3" t="n">
        <v>46340</v>
      </c>
      <c r="J268" s="3" t="n">
        <v>46353</v>
      </c>
      <c r="K268" s="2" t="inlineStr">
        <is>
          <t>High</t>
        </is>
      </c>
      <c r="L268" s="2" t="inlineStr">
        <is>
          <t>subtask,PH-03,orig-213</t>
        </is>
      </c>
      <c r="M268" s="2" t="inlineStr">
        <is>
          <t>ORIG-213</t>
        </is>
      </c>
      <c r="N268" s="2" t="inlineStr">
        <is>
          <t>CIN-T-020, CIN-T-021, CIN-T-022, CIN-T-023, CIN-T-024, CIN-T-027</t>
        </is>
      </c>
      <c r="O268" s="2" t="inlineStr">
        <is>
          <t>PH-03</t>
        </is>
      </c>
      <c r="P268" s="2" t="inlineStr">
        <is>
          <t>CIN-T-035</t>
        </is>
      </c>
    </row>
    <row r="269">
      <c r="A269" s="2" t="inlineStr">
        <is>
          <t>Sub-task</t>
        </is>
      </c>
      <c r="B269" s="2" t="inlineStr">
        <is>
          <t>CIN-SUB-214</t>
        </is>
      </c>
      <c r="C269" s="2" t="inlineStr">
        <is>
          <t>CIN-T-035</t>
        </is>
      </c>
      <c r="D269" s="2" t="inlineStr">
        <is>
          <t>Seat Test</t>
        </is>
      </c>
      <c r="E269" s="2" t="inlineStr">
        <is>
          <t>Original Row ID: ORIG-214. Original task: Seat Test. Original description: Availability / Held / Sold.</t>
        </is>
      </c>
      <c r="F269" s="2" t="inlineStr">
        <is>
          <t>24120235</t>
        </is>
      </c>
      <c r="G269" s="2" t="inlineStr">
        <is>
          <t>Huynh Thanh Tu</t>
        </is>
      </c>
      <c r="H269" s="2" t="inlineStr">
        <is>
          <t>Sprint 4</t>
        </is>
      </c>
      <c r="I269" s="3" t="n">
        <v>46340</v>
      </c>
      <c r="J269" s="3" t="n">
        <v>46353</v>
      </c>
      <c r="K269" s="2" t="inlineStr">
        <is>
          <t>High</t>
        </is>
      </c>
      <c r="L269" s="2" t="inlineStr">
        <is>
          <t>subtask,PH-03,orig-214</t>
        </is>
      </c>
      <c r="M269" s="2" t="inlineStr">
        <is>
          <t>ORIG-214</t>
        </is>
      </c>
      <c r="N269" s="2" t="inlineStr">
        <is>
          <t>CIN-T-020, CIN-T-021, CIN-T-022, CIN-T-023, CIN-T-024, CIN-T-027</t>
        </is>
      </c>
      <c r="O269" s="2" t="inlineStr">
        <is>
          <t>PH-03</t>
        </is>
      </c>
      <c r="P269" s="2" t="inlineStr">
        <is>
          <t>CIN-T-035</t>
        </is>
      </c>
    </row>
    <row r="270">
      <c r="A270" s="2" t="inlineStr">
        <is>
          <t>Sub-task</t>
        </is>
      </c>
      <c r="B270" s="2" t="inlineStr">
        <is>
          <t>CIN-SUB-215</t>
        </is>
      </c>
      <c r="C270" s="2" t="inlineStr">
        <is>
          <t>CIN-T-035</t>
        </is>
      </c>
      <c r="D270" s="2" t="inlineStr">
        <is>
          <t>Booking Test</t>
        </is>
      </c>
      <c r="E270" s="2" t="inlineStr">
        <is>
          <t>Original Row ID: ORIG-215. Original task: Booking Test. Original description: Đặt vé.</t>
        </is>
      </c>
      <c r="F270" s="2" t="inlineStr">
        <is>
          <t>24120098</t>
        </is>
      </c>
      <c r="G270" s="2" t="inlineStr">
        <is>
          <t>Nguyen Quoc Nam</t>
        </is>
      </c>
      <c r="H270" s="2" t="inlineStr">
        <is>
          <t>Sprint 4</t>
        </is>
      </c>
      <c r="I270" s="3" t="n">
        <v>46340</v>
      </c>
      <c r="J270" s="3" t="n">
        <v>46353</v>
      </c>
      <c r="K270" s="2" t="inlineStr">
        <is>
          <t>High</t>
        </is>
      </c>
      <c r="L270" s="2" t="inlineStr">
        <is>
          <t>subtask,PH-03,orig-215</t>
        </is>
      </c>
      <c r="M270" s="2" t="inlineStr">
        <is>
          <t>ORIG-215</t>
        </is>
      </c>
      <c r="N270" s="2" t="inlineStr">
        <is>
          <t>CIN-T-020, CIN-T-021, CIN-T-022, CIN-T-023, CIN-T-024, CIN-T-027</t>
        </is>
      </c>
      <c r="O270" s="2" t="inlineStr">
        <is>
          <t>PH-03</t>
        </is>
      </c>
      <c r="P270" s="2" t="inlineStr">
        <is>
          <t>CIN-T-035</t>
        </is>
      </c>
    </row>
    <row r="271">
      <c r="A271" s="2" t="inlineStr">
        <is>
          <t>Sub-task</t>
        </is>
      </c>
      <c r="B271" s="2" t="inlineStr">
        <is>
          <t>CIN-SUB-216</t>
        </is>
      </c>
      <c r="C271" s="2" t="inlineStr">
        <is>
          <t>CIN-T-035</t>
        </is>
      </c>
      <c r="D271" s="2" t="inlineStr">
        <is>
          <t>Concurrency Test</t>
        </is>
      </c>
      <c r="E271" s="2" t="inlineStr">
        <is>
          <t>Original Row ID: ORIG-216. Original task: Concurrency Test. Original description: Nhiều người cùng đặt một ghế.</t>
        </is>
      </c>
      <c r="F271" s="2" t="inlineStr">
        <is>
          <t>24120255</t>
        </is>
      </c>
      <c r="G271" s="2" t="inlineStr">
        <is>
          <t>Tran Thien An</t>
        </is>
      </c>
      <c r="H271" s="2" t="inlineStr">
        <is>
          <t>Sprint 4</t>
        </is>
      </c>
      <c r="I271" s="3" t="n">
        <v>46340</v>
      </c>
      <c r="J271" s="3" t="n">
        <v>46353</v>
      </c>
      <c r="K271" s="2" t="inlineStr">
        <is>
          <t>High</t>
        </is>
      </c>
      <c r="L271" s="2" t="inlineStr">
        <is>
          <t>subtask,PH-03,orig-216</t>
        </is>
      </c>
      <c r="M271" s="2" t="inlineStr">
        <is>
          <t>ORIG-216</t>
        </is>
      </c>
      <c r="N271" s="2" t="inlineStr">
        <is>
          <t>CIN-T-020, CIN-T-021, CIN-T-022, CIN-T-023, CIN-T-024, CIN-T-027</t>
        </is>
      </c>
      <c r="O271" s="2" t="inlineStr">
        <is>
          <t>PH-03</t>
        </is>
      </c>
      <c r="P271" s="2" t="inlineStr">
        <is>
          <t>CIN-T-035</t>
        </is>
      </c>
    </row>
    <row r="272">
      <c r="A272" s="2" t="inlineStr">
        <is>
          <t>Sub-task</t>
        </is>
      </c>
      <c r="B272" s="2" t="inlineStr">
        <is>
          <t>CIN-SUB-217</t>
        </is>
      </c>
      <c r="C272" s="2" t="inlineStr">
        <is>
          <t>CIN-T-035</t>
        </is>
      </c>
      <c r="D272" s="2" t="inlineStr">
        <is>
          <t>Payment Test</t>
        </is>
      </c>
      <c r="E272" s="2" t="inlineStr">
        <is>
          <t>Original Row ID: ORIG-217. Original task: Payment Test. Original description: Success / Failed / Timeout.</t>
        </is>
      </c>
      <c r="F272" s="2" t="inlineStr">
        <is>
          <t>24120244</t>
        </is>
      </c>
      <c r="G272" s="2" t="inlineStr">
        <is>
          <t>Phan Van Viet</t>
        </is>
      </c>
      <c r="H272" s="2" t="inlineStr">
        <is>
          <t>Sprint 4</t>
        </is>
      </c>
      <c r="I272" s="3" t="n">
        <v>46340</v>
      </c>
      <c r="J272" s="3" t="n">
        <v>46353</v>
      </c>
      <c r="K272" s="2" t="inlineStr">
        <is>
          <t>High</t>
        </is>
      </c>
      <c r="L272" s="2" t="inlineStr">
        <is>
          <t>subtask,PH-03,orig-217</t>
        </is>
      </c>
      <c r="M272" s="2" t="inlineStr">
        <is>
          <t>ORIG-217</t>
        </is>
      </c>
      <c r="N272" s="2" t="inlineStr">
        <is>
          <t>CIN-T-020, CIN-T-021, CIN-T-022, CIN-T-023, CIN-T-024, CIN-T-027</t>
        </is>
      </c>
      <c r="O272" s="2" t="inlineStr">
        <is>
          <t>PH-03</t>
        </is>
      </c>
      <c r="P272" s="2" t="inlineStr">
        <is>
          <t>CIN-T-035</t>
        </is>
      </c>
    </row>
    <row r="273">
      <c r="A273" s="2" t="inlineStr">
        <is>
          <t>Sub-task</t>
        </is>
      </c>
      <c r="B273" s="2" t="inlineStr">
        <is>
          <t>CIN-SUB-218</t>
        </is>
      </c>
      <c r="C273" s="2" t="inlineStr">
        <is>
          <t>CIN-T-035</t>
        </is>
      </c>
      <c r="D273" s="2" t="inlineStr">
        <is>
          <t>Ticket Test</t>
        </is>
      </c>
      <c r="E273" s="2" t="inlineStr">
        <is>
          <t>Original Row ID: ORIG-218. Original task: Ticket Test. Original description: Phát hành và xác thực vé.</t>
        </is>
      </c>
      <c r="F273" s="2" t="inlineStr">
        <is>
          <t>24120271</t>
        </is>
      </c>
      <c r="G273" s="2" t="inlineStr">
        <is>
          <t>Nguyen Trung Chinh</t>
        </is>
      </c>
      <c r="H273" s="2" t="inlineStr">
        <is>
          <t>Sprint 4</t>
        </is>
      </c>
      <c r="I273" s="3" t="n">
        <v>46340</v>
      </c>
      <c r="J273" s="3" t="n">
        <v>46353</v>
      </c>
      <c r="K273" s="2" t="inlineStr">
        <is>
          <t>High</t>
        </is>
      </c>
      <c r="L273" s="2" t="inlineStr">
        <is>
          <t>subtask,PH-03,orig-218</t>
        </is>
      </c>
      <c r="M273" s="2" t="inlineStr">
        <is>
          <t>ORIG-218</t>
        </is>
      </c>
      <c r="N273" s="2" t="inlineStr">
        <is>
          <t>CIN-T-020, CIN-T-021, CIN-T-022, CIN-T-023, CIN-T-024, CIN-T-027</t>
        </is>
      </c>
      <c r="O273" s="2" t="inlineStr">
        <is>
          <t>PH-03</t>
        </is>
      </c>
      <c r="P273" s="2" t="inlineStr">
        <is>
          <t>CIN-T-035</t>
        </is>
      </c>
    </row>
    <row r="274">
      <c r="A274" s="2" t="inlineStr">
        <is>
          <t>Sub-task</t>
        </is>
      </c>
      <c r="B274" s="2" t="inlineStr">
        <is>
          <t>CIN-SUB-219</t>
        </is>
      </c>
      <c r="C274" s="2" t="inlineStr">
        <is>
          <t>CIN-T-035</t>
        </is>
      </c>
      <c r="D274" s="2" t="inlineStr">
        <is>
          <t>Frontend Test</t>
        </is>
      </c>
      <c r="E274" s="2" t="inlineStr">
        <is>
          <t>Original Row ID: ORIG-219. Original task: Frontend Test. Original description: UI / Form / Navigation.</t>
        </is>
      </c>
      <c r="F274" s="2" t="inlineStr">
        <is>
          <t>24120235</t>
        </is>
      </c>
      <c r="G274" s="2" t="inlineStr">
        <is>
          <t>Huynh Thanh Tu</t>
        </is>
      </c>
      <c r="H274" s="2" t="inlineStr">
        <is>
          <t>Sprint 4</t>
        </is>
      </c>
      <c r="I274" s="3" t="n">
        <v>46340</v>
      </c>
      <c r="J274" s="3" t="n">
        <v>46353</v>
      </c>
      <c r="K274" s="2" t="inlineStr">
        <is>
          <t>High</t>
        </is>
      </c>
      <c r="L274" s="2" t="inlineStr">
        <is>
          <t>subtask,PH-03,orig-219</t>
        </is>
      </c>
      <c r="M274" s="2" t="inlineStr">
        <is>
          <t>ORIG-219</t>
        </is>
      </c>
      <c r="N274" s="2" t="inlineStr">
        <is>
          <t>CIN-T-020, CIN-T-021, CIN-T-022, CIN-T-023, CIN-T-024, CIN-T-027</t>
        </is>
      </c>
      <c r="O274" s="2" t="inlineStr">
        <is>
          <t>PH-03</t>
        </is>
      </c>
      <c r="P274" s="2" t="inlineStr">
        <is>
          <t>CIN-T-035</t>
        </is>
      </c>
    </row>
    <row r="275">
      <c r="A275" s="2" t="inlineStr">
        <is>
          <t>Sub-task</t>
        </is>
      </c>
      <c r="B275" s="2" t="inlineStr">
        <is>
          <t>CIN-SUB-220</t>
        </is>
      </c>
      <c r="C275" s="2" t="inlineStr">
        <is>
          <t>CIN-T-035</t>
        </is>
      </c>
      <c r="D275" s="2" t="inlineStr">
        <is>
          <t>End-to-End Test</t>
        </is>
      </c>
      <c r="E275" s="2" t="inlineStr">
        <is>
          <t>Original Row ID: ORIG-220. Original task: End-to-End Test. Original description: Test toàn bộ flow mua vé.</t>
        </is>
      </c>
      <c r="F275" s="2" t="inlineStr">
        <is>
          <t>24120098</t>
        </is>
      </c>
      <c r="G275" s="2" t="inlineStr">
        <is>
          <t>Nguyen Quoc Nam</t>
        </is>
      </c>
      <c r="H275" s="2" t="inlineStr">
        <is>
          <t>Sprint 4</t>
        </is>
      </c>
      <c r="I275" s="3" t="n">
        <v>46340</v>
      </c>
      <c r="J275" s="3" t="n">
        <v>46353</v>
      </c>
      <c r="K275" s="2" t="inlineStr">
        <is>
          <t>High</t>
        </is>
      </c>
      <c r="L275" s="2" t="inlineStr">
        <is>
          <t>subtask,PH-03,orig-220</t>
        </is>
      </c>
      <c r="M275" s="2" t="inlineStr">
        <is>
          <t>ORIG-220</t>
        </is>
      </c>
      <c r="N275" s="2" t="inlineStr">
        <is>
          <t>CIN-T-020, CIN-T-021, CIN-T-022, CIN-T-023, CIN-T-024, CIN-T-027</t>
        </is>
      </c>
      <c r="O275" s="2" t="inlineStr">
        <is>
          <t>PH-03</t>
        </is>
      </c>
      <c r="P275" s="2" t="inlineStr">
        <is>
          <t>CIN-T-035</t>
        </is>
      </c>
    </row>
    <row r="276">
      <c r="A276" s="2" t="inlineStr">
        <is>
          <t>Sub-task</t>
        </is>
      </c>
      <c r="B276" s="2" t="inlineStr">
        <is>
          <t>CIN-SUB-221</t>
        </is>
      </c>
      <c r="C276" s="2" t="inlineStr">
        <is>
          <t>CIN-T-036</t>
        </is>
      </c>
      <c r="D276" s="2" t="inlineStr">
        <is>
          <t>Regression Test</t>
        </is>
      </c>
      <c r="E276" s="2" t="inlineStr">
        <is>
          <t>Original Row ID: ORIG-221. Original task: Regression Test. Original description: Đảm bảo chức năng cũ không bị phá vỡ.</t>
        </is>
      </c>
      <c r="F276" s="2" t="inlineStr">
        <is>
          <t>24120271</t>
        </is>
      </c>
      <c r="G276" s="2" t="inlineStr">
        <is>
          <t>Nguyen Trung Chinh</t>
        </is>
      </c>
      <c r="H276" s="2" t="inlineStr">
        <is>
          <t>Sprint 5</t>
        </is>
      </c>
      <c r="I276" s="3" t="n">
        <v>46354</v>
      </c>
      <c r="J276" s="3" t="n">
        <v>46368</v>
      </c>
      <c r="K276" s="2" t="inlineStr">
        <is>
          <t>High</t>
        </is>
      </c>
      <c r="L276" s="2" t="inlineStr">
        <is>
          <t>subtask,PH-04,orig-221</t>
        </is>
      </c>
      <c r="M276" s="2" t="inlineStr">
        <is>
          <t>ORIG-221</t>
        </is>
      </c>
      <c r="N276" s="2" t="inlineStr">
        <is>
          <t>CIN-T-035, CIN-T-028, CIN-T-029, CIN-T-030</t>
        </is>
      </c>
      <c r="O276" s="2" t="inlineStr">
        <is>
          <t>PH-04</t>
        </is>
      </c>
      <c r="P276" s="2" t="inlineStr">
        <is>
          <t>CIN-T-036</t>
        </is>
      </c>
    </row>
    <row r="277">
      <c r="A277" s="2" t="inlineStr">
        <is>
          <t>Sub-task</t>
        </is>
      </c>
      <c r="B277" s="2" t="inlineStr">
        <is>
          <t>CIN-SUB-222</t>
        </is>
      </c>
      <c r="C277" s="2" t="inlineStr">
        <is>
          <t>CIN-T-037</t>
        </is>
      </c>
      <c r="D277" s="2" t="inlineStr">
        <is>
          <t>Docker PostgreSQL</t>
        </is>
      </c>
      <c r="E277" s="2" t="inlineStr">
        <is>
          <t>Original Row ID: ORIG-222. Original task: Docker PostgreSQL. Original description: PostgreSQL chạy bằng Docker.</t>
        </is>
      </c>
      <c r="F277" s="2" t="inlineStr">
        <is>
          <t>24120255</t>
        </is>
      </c>
      <c r="G277" s="2" t="inlineStr">
        <is>
          <t>Tran Thien An</t>
        </is>
      </c>
      <c r="H277" s="2" t="inlineStr">
        <is>
          <t>Sprint 2</t>
        </is>
      </c>
      <c r="I277" s="3" t="n">
        <v>46312</v>
      </c>
      <c r="J277" s="3" t="n">
        <v>46325</v>
      </c>
      <c r="K277" s="2" t="inlineStr">
        <is>
          <t>Medium</t>
        </is>
      </c>
      <c r="L277" s="2" t="inlineStr">
        <is>
          <t>subtask,PH-02,orig-222</t>
        </is>
      </c>
      <c r="M277" s="2" t="inlineStr">
        <is>
          <t>ORIG-222</t>
        </is>
      </c>
      <c r="N277" s="2" t="inlineStr">
        <is>
          <t>CIN-T-012, CIN-T-003</t>
        </is>
      </c>
      <c r="O277" s="2" t="inlineStr">
        <is>
          <t>PH-02</t>
        </is>
      </c>
      <c r="P277" s="2" t="inlineStr">
        <is>
          <t>CIN-T-037</t>
        </is>
      </c>
    </row>
    <row r="278">
      <c r="A278" s="2" t="inlineStr">
        <is>
          <t>Sub-task</t>
        </is>
      </c>
      <c r="B278" s="2" t="inlineStr">
        <is>
          <t>CIN-SUB-223</t>
        </is>
      </c>
      <c r="C278" s="2" t="inlineStr">
        <is>
          <t>CIN-T-037</t>
        </is>
      </c>
      <c r="D278" s="2" t="inlineStr">
        <is>
          <t>Docker Backend</t>
        </is>
      </c>
      <c r="E278" s="2" t="inlineStr">
        <is>
          <t>Original Row ID: ORIG-223. Original task: Docker Backend. Original description: Containerize ASP.NET Core API nếu cần.</t>
        </is>
      </c>
      <c r="F278" s="2" t="inlineStr">
        <is>
          <t>24120271</t>
        </is>
      </c>
      <c r="G278" s="2" t="inlineStr">
        <is>
          <t>Nguyen Trung Chinh</t>
        </is>
      </c>
      <c r="H278" s="2" t="inlineStr">
        <is>
          <t>Sprint 2</t>
        </is>
      </c>
      <c r="I278" s="3" t="n">
        <v>46312</v>
      </c>
      <c r="J278" s="3" t="n">
        <v>46325</v>
      </c>
      <c r="K278" s="2" t="inlineStr">
        <is>
          <t>Medium</t>
        </is>
      </c>
      <c r="L278" s="2" t="inlineStr">
        <is>
          <t>subtask,PH-02,orig-223</t>
        </is>
      </c>
      <c r="M278" s="2" t="inlineStr">
        <is>
          <t>ORIG-223</t>
        </is>
      </c>
      <c r="N278" s="2" t="inlineStr">
        <is>
          <t>CIN-T-012, CIN-T-003</t>
        </is>
      </c>
      <c r="O278" s="2" t="inlineStr">
        <is>
          <t>PH-02</t>
        </is>
      </c>
      <c r="P278" s="2" t="inlineStr">
        <is>
          <t>CIN-T-037</t>
        </is>
      </c>
    </row>
    <row r="279">
      <c r="A279" s="2" t="inlineStr">
        <is>
          <t>Sub-task</t>
        </is>
      </c>
      <c r="B279" s="2" t="inlineStr">
        <is>
          <t>CIN-SUB-224</t>
        </is>
      </c>
      <c r="C279" s="2" t="inlineStr">
        <is>
          <t>CIN-T-037</t>
        </is>
      </c>
      <c r="D279" s="2" t="inlineStr">
        <is>
          <t>Docker Frontend</t>
        </is>
      </c>
      <c r="E279" s="2" t="inlineStr">
        <is>
          <t>Original Row ID: ORIG-224. Original task: Docker Frontend. Original description: Containerize Frontend nếu cần.</t>
        </is>
      </c>
      <c r="F279" s="2" t="inlineStr">
        <is>
          <t>24120244</t>
        </is>
      </c>
      <c r="G279" s="2" t="inlineStr">
        <is>
          <t>Phan Van Viet</t>
        </is>
      </c>
      <c r="H279" s="2" t="inlineStr">
        <is>
          <t>Sprint 2</t>
        </is>
      </c>
      <c r="I279" s="3" t="n">
        <v>46312</v>
      </c>
      <c r="J279" s="3" t="n">
        <v>46325</v>
      </c>
      <c r="K279" s="2" t="inlineStr">
        <is>
          <t>Medium</t>
        </is>
      </c>
      <c r="L279" s="2" t="inlineStr">
        <is>
          <t>subtask,PH-02,orig-224</t>
        </is>
      </c>
      <c r="M279" s="2" t="inlineStr">
        <is>
          <t>ORIG-224</t>
        </is>
      </c>
      <c r="N279" s="2" t="inlineStr">
        <is>
          <t>CIN-T-012, CIN-T-003</t>
        </is>
      </c>
      <c r="O279" s="2" t="inlineStr">
        <is>
          <t>PH-02</t>
        </is>
      </c>
      <c r="P279" s="2" t="inlineStr">
        <is>
          <t>CIN-T-037</t>
        </is>
      </c>
    </row>
    <row r="280">
      <c r="A280" s="2" t="inlineStr">
        <is>
          <t>Sub-task</t>
        </is>
      </c>
      <c r="B280" s="2" t="inlineStr">
        <is>
          <t>CIN-SUB-225</t>
        </is>
      </c>
      <c r="C280" s="2" t="inlineStr">
        <is>
          <t>CIN-T-037</t>
        </is>
      </c>
      <c r="D280" s="2" t="inlineStr">
        <is>
          <t>Docker Compose</t>
        </is>
      </c>
      <c r="E280" s="2" t="inlineStr">
        <is>
          <t>Original Row ID: ORIG-225. Original task: Docker Compose. Original description: Chạy các service bằng một cấu hình chung.</t>
        </is>
      </c>
      <c r="F280" s="2" t="inlineStr">
        <is>
          <t>24120098</t>
        </is>
      </c>
      <c r="G280" s="2" t="inlineStr">
        <is>
          <t>Nguyen Quoc Nam</t>
        </is>
      </c>
      <c r="H280" s="2" t="inlineStr">
        <is>
          <t>Sprint 2</t>
        </is>
      </c>
      <c r="I280" s="3" t="n">
        <v>46312</v>
      </c>
      <c r="J280" s="3" t="n">
        <v>46325</v>
      </c>
      <c r="K280" s="2" t="inlineStr">
        <is>
          <t>Medium</t>
        </is>
      </c>
      <c r="L280" s="2" t="inlineStr">
        <is>
          <t>subtask,PH-02,orig-225</t>
        </is>
      </c>
      <c r="M280" s="2" t="inlineStr">
        <is>
          <t>ORIG-225</t>
        </is>
      </c>
      <c r="N280" s="2" t="inlineStr">
        <is>
          <t>CIN-T-012, CIN-T-003</t>
        </is>
      </c>
      <c r="O280" s="2" t="inlineStr">
        <is>
          <t>PH-02</t>
        </is>
      </c>
      <c r="P280" s="2" t="inlineStr">
        <is>
          <t>CIN-T-037</t>
        </is>
      </c>
    </row>
    <row r="281">
      <c r="A281" s="2" t="inlineStr">
        <is>
          <t>Sub-task</t>
        </is>
      </c>
      <c r="B281" s="2" t="inlineStr">
        <is>
          <t>CIN-SUB-226</t>
        </is>
      </c>
      <c r="C281" s="2" t="inlineStr">
        <is>
          <t>CIN-T-037</t>
        </is>
      </c>
      <c r="D281" s="2" t="inlineStr">
        <is>
          <t>Environment Variables</t>
        </is>
      </c>
      <c r="E281" s="2" t="inlineStr">
        <is>
          <t>Original Row ID: ORIG-226. Original task: Environment Variables. Original description: Development / Production configuration.</t>
        </is>
      </c>
      <c r="F281" s="2" t="inlineStr">
        <is>
          <t>24120235</t>
        </is>
      </c>
      <c r="G281" s="2" t="inlineStr">
        <is>
          <t>Huynh Thanh Tu</t>
        </is>
      </c>
      <c r="H281" s="2" t="inlineStr">
        <is>
          <t>Sprint 2</t>
        </is>
      </c>
      <c r="I281" s="3" t="n">
        <v>46312</v>
      </c>
      <c r="J281" s="3" t="n">
        <v>46325</v>
      </c>
      <c r="K281" s="2" t="inlineStr">
        <is>
          <t>Medium</t>
        </is>
      </c>
      <c r="L281" s="2" t="inlineStr">
        <is>
          <t>subtask,PH-02,orig-226</t>
        </is>
      </c>
      <c r="M281" s="2" t="inlineStr">
        <is>
          <t>ORIG-226</t>
        </is>
      </c>
      <c r="N281" s="2" t="inlineStr">
        <is>
          <t>CIN-T-012, CIN-T-003</t>
        </is>
      </c>
      <c r="O281" s="2" t="inlineStr">
        <is>
          <t>PH-02</t>
        </is>
      </c>
      <c r="P281" s="2" t="inlineStr">
        <is>
          <t>CIN-T-037</t>
        </is>
      </c>
    </row>
    <row r="282">
      <c r="A282" s="2" t="inlineStr">
        <is>
          <t>Sub-task</t>
        </is>
      </c>
      <c r="B282" s="2" t="inlineStr">
        <is>
          <t>CIN-SUB-227</t>
        </is>
      </c>
      <c r="C282" s="2" t="inlineStr">
        <is>
          <t>CIN-T-037</t>
        </is>
      </c>
      <c r="D282" s="2" t="inlineStr">
        <is>
          <t>Local Development Setup</t>
        </is>
      </c>
      <c r="E282" s="2" t="inlineStr">
        <is>
          <t>Original Row ID: ORIG-227. Original task: Local Development Setup. Original description: Một lệnh có thể khởi động môi trường development.</t>
        </is>
      </c>
      <c r="F282" s="2" t="inlineStr">
        <is>
          <t>24120255</t>
        </is>
      </c>
      <c r="G282" s="2" t="inlineStr">
        <is>
          <t>Tran Thien An</t>
        </is>
      </c>
      <c r="H282" s="2" t="inlineStr">
        <is>
          <t>Sprint 2</t>
        </is>
      </c>
      <c r="I282" s="3" t="n">
        <v>46312</v>
      </c>
      <c r="J282" s="3" t="n">
        <v>46325</v>
      </c>
      <c r="K282" s="2" t="inlineStr">
        <is>
          <t>Medium</t>
        </is>
      </c>
      <c r="L282" s="2" t="inlineStr">
        <is>
          <t>subtask,PH-02,orig-227</t>
        </is>
      </c>
      <c r="M282" s="2" t="inlineStr">
        <is>
          <t>ORIG-227</t>
        </is>
      </c>
      <c r="N282" s="2" t="inlineStr">
        <is>
          <t>CIN-T-012, CIN-T-003</t>
        </is>
      </c>
      <c r="O282" s="2" t="inlineStr">
        <is>
          <t>PH-02</t>
        </is>
      </c>
      <c r="P282" s="2" t="inlineStr">
        <is>
          <t>CIN-T-037</t>
        </is>
      </c>
    </row>
    <row r="283">
      <c r="A283" s="2" t="inlineStr">
        <is>
          <t>Sub-task</t>
        </is>
      </c>
      <c r="B283" s="2" t="inlineStr">
        <is>
          <t>CIN-SUB-228</t>
        </is>
      </c>
      <c r="C283" s="2" t="inlineStr">
        <is>
          <t>CIN-T-038</t>
        </is>
      </c>
      <c r="D283" s="2" t="inlineStr">
        <is>
          <t>Thiết lập CI</t>
        </is>
      </c>
      <c r="E283" s="2" t="inlineStr">
        <is>
          <t>Original Row ID: ORIG-228. Original task: Thiết lập CI. Original description: GitHub Actions / CI pipeline.</t>
        </is>
      </c>
      <c r="F283" s="2" t="inlineStr">
        <is>
          <t>24120235</t>
        </is>
      </c>
      <c r="G283" s="2" t="inlineStr">
        <is>
          <t>Huynh Thanh Tu</t>
        </is>
      </c>
      <c r="H283" s="2" t="inlineStr">
        <is>
          <t>Sprint 5</t>
        </is>
      </c>
      <c r="I283" s="3" t="n">
        <v>46354</v>
      </c>
      <c r="J283" s="3" t="n">
        <v>46368</v>
      </c>
      <c r="K283" s="2" t="inlineStr">
        <is>
          <t>Medium</t>
        </is>
      </c>
      <c r="L283" s="2" t="inlineStr">
        <is>
          <t>subtask,PH-04,orig-228</t>
        </is>
      </c>
      <c r="M283" s="2" t="inlineStr">
        <is>
          <t>ORIG-228</t>
        </is>
      </c>
      <c r="N283" s="2" t="inlineStr">
        <is>
          <t>CIN-T-035, CIN-T-012</t>
        </is>
      </c>
      <c r="O283" s="2" t="inlineStr">
        <is>
          <t>PH-04</t>
        </is>
      </c>
      <c r="P283" s="2" t="inlineStr">
        <is>
          <t>CIN-T-038</t>
        </is>
      </c>
    </row>
    <row r="284">
      <c r="A284" s="2" t="inlineStr">
        <is>
          <t>Sub-task</t>
        </is>
      </c>
      <c r="B284" s="2" t="inlineStr">
        <is>
          <t>CIN-SUB-229</t>
        </is>
      </c>
      <c r="C284" s="2" t="inlineStr">
        <is>
          <t>CIN-T-038</t>
        </is>
      </c>
      <c r="D284" s="2" t="inlineStr">
        <is>
          <t>Backend Build</t>
        </is>
      </c>
      <c r="E284" s="2" t="inlineStr">
        <is>
          <t>Original Row ID: ORIG-229. Original task: Backend Build. Original description: Tự động build Backend.</t>
        </is>
      </c>
      <c r="F284" s="2" t="inlineStr">
        <is>
          <t>24120098</t>
        </is>
      </c>
      <c r="G284" s="2" t="inlineStr">
        <is>
          <t>Nguyen Quoc Nam</t>
        </is>
      </c>
      <c r="H284" s="2" t="inlineStr">
        <is>
          <t>Sprint 5</t>
        </is>
      </c>
      <c r="I284" s="3" t="n">
        <v>46354</v>
      </c>
      <c r="J284" s="3" t="n">
        <v>46368</v>
      </c>
      <c r="K284" s="2" t="inlineStr">
        <is>
          <t>Medium</t>
        </is>
      </c>
      <c r="L284" s="2" t="inlineStr">
        <is>
          <t>subtask,PH-04,orig-229</t>
        </is>
      </c>
      <c r="M284" s="2" t="inlineStr">
        <is>
          <t>ORIG-229</t>
        </is>
      </c>
      <c r="N284" s="2" t="inlineStr">
        <is>
          <t>CIN-T-035, CIN-T-012</t>
        </is>
      </c>
      <c r="O284" s="2" t="inlineStr">
        <is>
          <t>PH-04</t>
        </is>
      </c>
      <c r="P284" s="2" t="inlineStr">
        <is>
          <t>CIN-T-038</t>
        </is>
      </c>
    </row>
    <row r="285">
      <c r="A285" s="2" t="inlineStr">
        <is>
          <t>Sub-task</t>
        </is>
      </c>
      <c r="B285" s="2" t="inlineStr">
        <is>
          <t>CIN-SUB-230</t>
        </is>
      </c>
      <c r="C285" s="2" t="inlineStr">
        <is>
          <t>CIN-T-038</t>
        </is>
      </c>
      <c r="D285" s="2" t="inlineStr">
        <is>
          <t>Frontend Build</t>
        </is>
      </c>
      <c r="E285" s="2" t="inlineStr">
        <is>
          <t>Original Row ID: ORIG-230. Original task: Frontend Build. Original description: Tự động build Frontend.</t>
        </is>
      </c>
      <c r="F285" s="2" t="inlineStr">
        <is>
          <t>24120244</t>
        </is>
      </c>
      <c r="G285" s="2" t="inlineStr">
        <is>
          <t>Phan Van Viet</t>
        </is>
      </c>
      <c r="H285" s="2" t="inlineStr">
        <is>
          <t>Sprint 5</t>
        </is>
      </c>
      <c r="I285" s="3" t="n">
        <v>46354</v>
      </c>
      <c r="J285" s="3" t="n">
        <v>46368</v>
      </c>
      <c r="K285" s="2" t="inlineStr">
        <is>
          <t>Medium</t>
        </is>
      </c>
      <c r="L285" s="2" t="inlineStr">
        <is>
          <t>subtask,PH-04,orig-230</t>
        </is>
      </c>
      <c r="M285" s="2" t="inlineStr">
        <is>
          <t>ORIG-230</t>
        </is>
      </c>
      <c r="N285" s="2" t="inlineStr">
        <is>
          <t>CIN-T-035, CIN-T-012</t>
        </is>
      </c>
      <c r="O285" s="2" t="inlineStr">
        <is>
          <t>PH-04</t>
        </is>
      </c>
      <c r="P285" s="2" t="inlineStr">
        <is>
          <t>CIN-T-038</t>
        </is>
      </c>
    </row>
    <row r="286">
      <c r="A286" s="2" t="inlineStr">
        <is>
          <t>Sub-task</t>
        </is>
      </c>
      <c r="B286" s="2" t="inlineStr">
        <is>
          <t>CIN-SUB-231</t>
        </is>
      </c>
      <c r="C286" s="2" t="inlineStr">
        <is>
          <t>CIN-T-038</t>
        </is>
      </c>
      <c r="D286" s="2" t="inlineStr">
        <is>
          <t>Automated Test</t>
        </is>
      </c>
      <c r="E286" s="2" t="inlineStr">
        <is>
          <t>Original Row ID: ORIG-231. Original task: Automated Test. Original description: Chạy test tự động.</t>
        </is>
      </c>
      <c r="F286" s="2" t="inlineStr">
        <is>
          <t>24120235</t>
        </is>
      </c>
      <c r="G286" s="2" t="inlineStr">
        <is>
          <t>Huynh Thanh Tu</t>
        </is>
      </c>
      <c r="H286" s="2" t="inlineStr">
        <is>
          <t>Sprint 5</t>
        </is>
      </c>
      <c r="I286" s="3" t="n">
        <v>46354</v>
      </c>
      <c r="J286" s="3" t="n">
        <v>46368</v>
      </c>
      <c r="K286" s="2" t="inlineStr">
        <is>
          <t>Medium</t>
        </is>
      </c>
      <c r="L286" s="2" t="inlineStr">
        <is>
          <t>subtask,PH-04,orig-231</t>
        </is>
      </c>
      <c r="M286" s="2" t="inlineStr">
        <is>
          <t>ORIG-231</t>
        </is>
      </c>
      <c r="N286" s="2" t="inlineStr">
        <is>
          <t>CIN-T-035, CIN-T-012</t>
        </is>
      </c>
      <c r="O286" s="2" t="inlineStr">
        <is>
          <t>PH-04</t>
        </is>
      </c>
      <c r="P286" s="2" t="inlineStr">
        <is>
          <t>CIN-T-038</t>
        </is>
      </c>
    </row>
    <row r="287">
      <c r="A287" s="2" t="inlineStr">
        <is>
          <t>Sub-task</t>
        </is>
      </c>
      <c r="B287" s="2" t="inlineStr">
        <is>
          <t>CIN-SUB-232</t>
        </is>
      </c>
      <c r="C287" s="2" t="inlineStr">
        <is>
          <t>CIN-T-038</t>
        </is>
      </c>
      <c r="D287" s="2" t="inlineStr">
        <is>
          <t>Code Quality Check</t>
        </is>
      </c>
      <c r="E287" s="2" t="inlineStr">
        <is>
          <t>Original Row ID: ORIG-232. Original task: Code Quality Check. Original description: Kiểm tra format / lint / warning nếu áp dụng.</t>
        </is>
      </c>
      <c r="F287" s="2" t="inlineStr">
        <is>
          <t>24120255</t>
        </is>
      </c>
      <c r="G287" s="2" t="inlineStr">
        <is>
          <t>Tran Thien An</t>
        </is>
      </c>
      <c r="H287" s="2" t="inlineStr">
        <is>
          <t>Sprint 5</t>
        </is>
      </c>
      <c r="I287" s="3" t="n">
        <v>46354</v>
      </c>
      <c r="J287" s="3" t="n">
        <v>46368</v>
      </c>
      <c r="K287" s="2" t="inlineStr">
        <is>
          <t>Medium</t>
        </is>
      </c>
      <c r="L287" s="2" t="inlineStr">
        <is>
          <t>subtask,PH-04,orig-232</t>
        </is>
      </c>
      <c r="M287" s="2" t="inlineStr">
        <is>
          <t>ORIG-232</t>
        </is>
      </c>
      <c r="N287" s="2" t="inlineStr">
        <is>
          <t>CIN-T-035, CIN-T-012</t>
        </is>
      </c>
      <c r="O287" s="2" t="inlineStr">
        <is>
          <t>PH-04</t>
        </is>
      </c>
      <c r="P287" s="2" t="inlineStr">
        <is>
          <t>CIN-T-038</t>
        </is>
      </c>
    </row>
    <row r="288">
      <c r="A288" s="2" t="inlineStr">
        <is>
          <t>Sub-task</t>
        </is>
      </c>
      <c r="B288" s="2" t="inlineStr">
        <is>
          <t>CIN-SUB-233</t>
        </is>
      </c>
      <c r="C288" s="2" t="inlineStr">
        <is>
          <t>CIN-T-038</t>
        </is>
      </c>
      <c r="D288" s="2" t="inlineStr">
        <is>
          <t>CI Status</t>
        </is>
      </c>
      <c r="E288" s="2" t="inlineStr">
        <is>
          <t>Original Row ID: ORIG-233. Original task: CI Status. Original description: Chỉ merge khi build/test đạt.</t>
        </is>
      </c>
      <c r="F288" s="2" t="inlineStr">
        <is>
          <t>24120098</t>
        </is>
      </c>
      <c r="G288" s="2" t="inlineStr">
        <is>
          <t>Nguyen Quoc Nam</t>
        </is>
      </c>
      <c r="H288" s="2" t="inlineStr">
        <is>
          <t>Sprint 5</t>
        </is>
      </c>
      <c r="I288" s="3" t="n">
        <v>46354</v>
      </c>
      <c r="J288" s="3" t="n">
        <v>46368</v>
      </c>
      <c r="K288" s="2" t="inlineStr">
        <is>
          <t>Medium</t>
        </is>
      </c>
      <c r="L288" s="2" t="inlineStr">
        <is>
          <t>subtask,PH-04,orig-233</t>
        </is>
      </c>
      <c r="M288" s="2" t="inlineStr">
        <is>
          <t>ORIG-233</t>
        </is>
      </c>
      <c r="N288" s="2" t="inlineStr">
        <is>
          <t>CIN-T-035, CIN-T-012</t>
        </is>
      </c>
      <c r="O288" s="2" t="inlineStr">
        <is>
          <t>PH-04</t>
        </is>
      </c>
      <c r="P288" s="2" t="inlineStr">
        <is>
          <t>CIN-T-038</t>
        </is>
      </c>
    </row>
    <row r="289">
      <c r="A289" s="2" t="inlineStr">
        <is>
          <t>Sub-task</t>
        </is>
      </c>
      <c r="B289" s="2" t="inlineStr">
        <is>
          <t>CIN-SUB-234</t>
        </is>
      </c>
      <c r="C289" s="2" t="inlineStr">
        <is>
          <t>CIN-T-038</t>
        </is>
      </c>
      <c r="D289" s="2" t="inlineStr">
        <is>
          <t>CD Pipeline</t>
        </is>
      </c>
      <c r="E289" s="2" t="inlineStr">
        <is>
          <t>Original Row ID: ORIG-234. Original task: CD Pipeline. Original description: Tự động hoặc bán tự động deploy.</t>
        </is>
      </c>
      <c r="F289" s="2" t="inlineStr">
        <is>
          <t>24120271</t>
        </is>
      </c>
      <c r="G289" s="2" t="inlineStr">
        <is>
          <t>Nguyen Trung Chinh</t>
        </is>
      </c>
      <c r="H289" s="2" t="inlineStr">
        <is>
          <t>Sprint 5</t>
        </is>
      </c>
      <c r="I289" s="3" t="n">
        <v>46354</v>
      </c>
      <c r="J289" s="3" t="n">
        <v>46368</v>
      </c>
      <c r="K289" s="2" t="inlineStr">
        <is>
          <t>Medium</t>
        </is>
      </c>
      <c r="L289" s="2" t="inlineStr">
        <is>
          <t>subtask,PH-04,orig-234</t>
        </is>
      </c>
      <c r="M289" s="2" t="inlineStr">
        <is>
          <t>ORIG-234</t>
        </is>
      </c>
      <c r="N289" s="2" t="inlineStr">
        <is>
          <t>CIN-T-035, CIN-T-012</t>
        </is>
      </c>
      <c r="O289" s="2" t="inlineStr">
        <is>
          <t>PH-04</t>
        </is>
      </c>
      <c r="P289" s="2" t="inlineStr">
        <is>
          <t>CIN-T-038</t>
        </is>
      </c>
    </row>
    <row r="290">
      <c r="A290" s="2" t="inlineStr">
        <is>
          <t>Sub-task</t>
        </is>
      </c>
      <c r="B290" s="2" t="inlineStr">
        <is>
          <t>CIN-SUB-235</t>
        </is>
      </c>
      <c r="C290" s="2" t="inlineStr">
        <is>
          <t>CIN-T-039</t>
        </is>
      </c>
      <c r="D290" s="2" t="inlineStr">
        <is>
          <t>Chuẩn bị Production Server</t>
        </is>
      </c>
      <c r="E290" s="2" t="inlineStr">
        <is>
          <t>Original Row ID: ORIG-235. Original task: Chuẩn bị Production Server. Original description: VPS / Cloud / Platform phù hợp.</t>
        </is>
      </c>
      <c r="F290" s="2" t="inlineStr">
        <is>
          <t>24120244</t>
        </is>
      </c>
      <c r="G290" s="2" t="inlineStr">
        <is>
          <t>Phan Van Viet</t>
        </is>
      </c>
      <c r="H290" s="2" t="inlineStr">
        <is>
          <t>Sprint 5</t>
        </is>
      </c>
      <c r="I290" s="3" t="n">
        <v>46354</v>
      </c>
      <c r="J290" s="3" t="n">
        <v>46368</v>
      </c>
      <c r="K290" s="2" t="inlineStr">
        <is>
          <t>Medium</t>
        </is>
      </c>
      <c r="L290" s="2" t="inlineStr">
        <is>
          <t>subtask,PH-04,orig-235</t>
        </is>
      </c>
      <c r="M290" s="2" t="inlineStr">
        <is>
          <t>ORIG-235</t>
        </is>
      </c>
      <c r="N290" s="2" t="inlineStr">
        <is>
          <t>CIN-T-037, CIN-T-038, CIN-T-027</t>
        </is>
      </c>
      <c r="O290" s="2" t="inlineStr">
        <is>
          <t>PH-04</t>
        </is>
      </c>
      <c r="P290" s="2" t="inlineStr">
        <is>
          <t>CIN-T-039</t>
        </is>
      </c>
    </row>
    <row r="291">
      <c r="A291" s="2" t="inlineStr">
        <is>
          <t>Sub-task</t>
        </is>
      </c>
      <c r="B291" s="2" t="inlineStr">
        <is>
          <t>CIN-SUB-236</t>
        </is>
      </c>
      <c r="C291" s="2" t="inlineStr">
        <is>
          <t>CIN-T-039</t>
        </is>
      </c>
      <c r="D291" s="2" t="inlineStr">
        <is>
          <t>Deploy Backend</t>
        </is>
      </c>
      <c r="E291" s="2" t="inlineStr">
        <is>
          <t>Original Row ID: ORIG-236. Original task: Deploy Backend. Original description: Deploy ASP.NET Core API.</t>
        </is>
      </c>
      <c r="F291" s="2" t="inlineStr">
        <is>
          <t>24120255</t>
        </is>
      </c>
      <c r="G291" s="2" t="inlineStr">
        <is>
          <t>Tran Thien An</t>
        </is>
      </c>
      <c r="H291" s="2" t="inlineStr">
        <is>
          <t>Sprint 5</t>
        </is>
      </c>
      <c r="I291" s="3" t="n">
        <v>46354</v>
      </c>
      <c r="J291" s="3" t="n">
        <v>46368</v>
      </c>
      <c r="K291" s="2" t="inlineStr">
        <is>
          <t>Medium</t>
        </is>
      </c>
      <c r="L291" s="2" t="inlineStr">
        <is>
          <t>subtask,PH-04,orig-236</t>
        </is>
      </c>
      <c r="M291" s="2" t="inlineStr">
        <is>
          <t>ORIG-236</t>
        </is>
      </c>
      <c r="N291" s="2" t="inlineStr">
        <is>
          <t>CIN-T-037, CIN-T-038, CIN-T-027</t>
        </is>
      </c>
      <c r="O291" s="2" t="inlineStr">
        <is>
          <t>PH-04</t>
        </is>
      </c>
      <c r="P291" s="2" t="inlineStr">
        <is>
          <t>CIN-T-039</t>
        </is>
      </c>
    </row>
    <row r="292">
      <c r="A292" s="2" t="inlineStr">
        <is>
          <t>Sub-task</t>
        </is>
      </c>
      <c r="B292" s="2" t="inlineStr">
        <is>
          <t>CIN-SUB-237</t>
        </is>
      </c>
      <c r="C292" s="2" t="inlineStr">
        <is>
          <t>CIN-T-039</t>
        </is>
      </c>
      <c r="D292" s="2" t="inlineStr">
        <is>
          <t>Deploy Frontend</t>
        </is>
      </c>
      <c r="E292" s="2" t="inlineStr">
        <is>
          <t>Original Row ID: ORIG-237. Original task: Deploy Frontend. Original description: Deploy Web Frontend.</t>
        </is>
      </c>
      <c r="F292" s="2" t="inlineStr">
        <is>
          <t>24120235</t>
        </is>
      </c>
      <c r="G292" s="2" t="inlineStr">
        <is>
          <t>Huynh Thanh Tu</t>
        </is>
      </c>
      <c r="H292" s="2" t="inlineStr">
        <is>
          <t>Sprint 5</t>
        </is>
      </c>
      <c r="I292" s="3" t="n">
        <v>46354</v>
      </c>
      <c r="J292" s="3" t="n">
        <v>46368</v>
      </c>
      <c r="K292" s="2" t="inlineStr">
        <is>
          <t>Medium</t>
        </is>
      </c>
      <c r="L292" s="2" t="inlineStr">
        <is>
          <t>subtask,PH-04,orig-237</t>
        </is>
      </c>
      <c r="M292" s="2" t="inlineStr">
        <is>
          <t>ORIG-237</t>
        </is>
      </c>
      <c r="N292" s="2" t="inlineStr">
        <is>
          <t>CIN-T-037, CIN-T-038, CIN-T-027</t>
        </is>
      </c>
      <c r="O292" s="2" t="inlineStr">
        <is>
          <t>PH-04</t>
        </is>
      </c>
      <c r="P292" s="2" t="inlineStr">
        <is>
          <t>CIN-T-039</t>
        </is>
      </c>
    </row>
    <row r="293">
      <c r="A293" s="2" t="inlineStr">
        <is>
          <t>Sub-task</t>
        </is>
      </c>
      <c r="B293" s="2" t="inlineStr">
        <is>
          <t>CIN-SUB-238</t>
        </is>
      </c>
      <c r="C293" s="2" t="inlineStr">
        <is>
          <t>CIN-T-039</t>
        </is>
      </c>
      <c r="D293" s="2" t="inlineStr">
        <is>
          <t>Deploy PostgreSQL</t>
        </is>
      </c>
      <c r="E293" s="2" t="inlineStr">
        <is>
          <t>Original Row ID: ORIG-238. Original task: Deploy PostgreSQL. Original description: Database production.</t>
        </is>
      </c>
      <c r="F293" s="2" t="inlineStr">
        <is>
          <t>24120244</t>
        </is>
      </c>
      <c r="G293" s="2" t="inlineStr">
        <is>
          <t>Phan Van Viet</t>
        </is>
      </c>
      <c r="H293" s="2" t="inlineStr">
        <is>
          <t>Sprint 5</t>
        </is>
      </c>
      <c r="I293" s="3" t="n">
        <v>46354</v>
      </c>
      <c r="J293" s="3" t="n">
        <v>46368</v>
      </c>
      <c r="K293" s="2" t="inlineStr">
        <is>
          <t>Medium</t>
        </is>
      </c>
      <c r="L293" s="2" t="inlineStr">
        <is>
          <t>subtask,PH-04,orig-238</t>
        </is>
      </c>
      <c r="M293" s="2" t="inlineStr">
        <is>
          <t>ORIG-238</t>
        </is>
      </c>
      <c r="N293" s="2" t="inlineStr">
        <is>
          <t>CIN-T-037, CIN-T-038, CIN-T-027</t>
        </is>
      </c>
      <c r="O293" s="2" t="inlineStr">
        <is>
          <t>PH-04</t>
        </is>
      </c>
      <c r="P293" s="2" t="inlineStr">
        <is>
          <t>CIN-T-039</t>
        </is>
      </c>
    </row>
    <row r="294">
      <c r="A294" s="2" t="inlineStr">
        <is>
          <t>Sub-task</t>
        </is>
      </c>
      <c r="B294" s="2" t="inlineStr">
        <is>
          <t>CIN-SUB-239</t>
        </is>
      </c>
      <c r="C294" s="2" t="inlineStr">
        <is>
          <t>CIN-T-039</t>
        </is>
      </c>
      <c r="D294" s="2" t="inlineStr">
        <is>
          <t>Production Connection</t>
        </is>
      </c>
      <c r="E294" s="2" t="inlineStr">
        <is>
          <t>Original Row ID: ORIG-239. Original task: Production Connection. Original description: Backend kết nối PostgreSQL production.</t>
        </is>
      </c>
      <c r="F294" s="2" t="inlineStr">
        <is>
          <t>24120098</t>
        </is>
      </c>
      <c r="G294" s="2" t="inlineStr">
        <is>
          <t>Nguyen Quoc Nam</t>
        </is>
      </c>
      <c r="H294" s="2" t="inlineStr">
        <is>
          <t>Sprint 5</t>
        </is>
      </c>
      <c r="I294" s="3" t="n">
        <v>46354</v>
      </c>
      <c r="J294" s="3" t="n">
        <v>46368</v>
      </c>
      <c r="K294" s="2" t="inlineStr">
        <is>
          <t>Medium</t>
        </is>
      </c>
      <c r="L294" s="2" t="inlineStr">
        <is>
          <t>subtask,PH-04,orig-239</t>
        </is>
      </c>
      <c r="M294" s="2" t="inlineStr">
        <is>
          <t>ORIG-239</t>
        </is>
      </c>
      <c r="N294" s="2" t="inlineStr">
        <is>
          <t>CIN-T-037, CIN-T-038, CIN-T-027</t>
        </is>
      </c>
      <c r="O294" s="2" t="inlineStr">
        <is>
          <t>PH-04</t>
        </is>
      </c>
      <c r="P294" s="2" t="inlineStr">
        <is>
          <t>CIN-T-039</t>
        </is>
      </c>
    </row>
    <row r="295">
      <c r="A295" s="2" t="inlineStr">
        <is>
          <t>Sub-task</t>
        </is>
      </c>
      <c r="B295" s="2" t="inlineStr">
        <is>
          <t>CIN-SUB-240</t>
        </is>
      </c>
      <c r="C295" s="2" t="inlineStr">
        <is>
          <t>CIN-T-039</t>
        </is>
      </c>
      <c r="D295" s="2" t="inlineStr">
        <is>
          <t>Production Migration</t>
        </is>
      </c>
      <c r="E295" s="2" t="inlineStr">
        <is>
          <t>Original Row ID: ORIG-240. Original task: Production Migration. Original description: Chạy EF Core Migration trên production.</t>
        </is>
      </c>
      <c r="F295" s="2" t="inlineStr">
        <is>
          <t>24120271</t>
        </is>
      </c>
      <c r="G295" s="2" t="inlineStr">
        <is>
          <t>Nguyen Trung Chinh</t>
        </is>
      </c>
      <c r="H295" s="2" t="inlineStr">
        <is>
          <t>Sprint 5</t>
        </is>
      </c>
      <c r="I295" s="3" t="n">
        <v>46354</v>
      </c>
      <c r="J295" s="3" t="n">
        <v>46368</v>
      </c>
      <c r="K295" s="2" t="inlineStr">
        <is>
          <t>Medium</t>
        </is>
      </c>
      <c r="L295" s="2" t="inlineStr">
        <is>
          <t>subtask,PH-04,orig-240</t>
        </is>
      </c>
      <c r="M295" s="2" t="inlineStr">
        <is>
          <t>ORIG-240</t>
        </is>
      </c>
      <c r="N295" s="2" t="inlineStr">
        <is>
          <t>CIN-T-037, CIN-T-038, CIN-T-027</t>
        </is>
      </c>
      <c r="O295" s="2" t="inlineStr">
        <is>
          <t>PH-04</t>
        </is>
      </c>
      <c r="P295" s="2" t="inlineStr">
        <is>
          <t>CIN-T-039</t>
        </is>
      </c>
    </row>
    <row r="296">
      <c r="A296" s="2" t="inlineStr">
        <is>
          <t>Sub-task</t>
        </is>
      </c>
      <c r="B296" s="2" t="inlineStr">
        <is>
          <t>CIN-SUB-241</t>
        </is>
      </c>
      <c r="C296" s="2" t="inlineStr">
        <is>
          <t>CIN-T-039</t>
        </is>
      </c>
      <c r="D296" s="2" t="inlineStr">
        <is>
          <t>Production Seed</t>
        </is>
      </c>
      <c r="E296" s="2" t="inlineStr">
        <is>
          <t>Original Row ID: ORIG-241. Original task: Production Seed. Original description: Dữ liệu production cần thiết.</t>
        </is>
      </c>
      <c r="F296" s="2" t="inlineStr">
        <is>
          <t>24120255</t>
        </is>
      </c>
      <c r="G296" s="2" t="inlineStr">
        <is>
          <t>Tran Thien An</t>
        </is>
      </c>
      <c r="H296" s="2" t="inlineStr">
        <is>
          <t>Sprint 5</t>
        </is>
      </c>
      <c r="I296" s="3" t="n">
        <v>46354</v>
      </c>
      <c r="J296" s="3" t="n">
        <v>46368</v>
      </c>
      <c r="K296" s="2" t="inlineStr">
        <is>
          <t>Medium</t>
        </is>
      </c>
      <c r="L296" s="2" t="inlineStr">
        <is>
          <t>subtask,PH-04,orig-241</t>
        </is>
      </c>
      <c r="M296" s="2" t="inlineStr">
        <is>
          <t>ORIG-241</t>
        </is>
      </c>
      <c r="N296" s="2" t="inlineStr">
        <is>
          <t>CIN-T-037, CIN-T-038, CIN-T-027</t>
        </is>
      </c>
      <c r="O296" s="2" t="inlineStr">
        <is>
          <t>PH-04</t>
        </is>
      </c>
      <c r="P296" s="2" t="inlineStr">
        <is>
          <t>CIN-T-039</t>
        </is>
      </c>
    </row>
    <row r="297">
      <c r="A297" s="2" t="inlineStr">
        <is>
          <t>Sub-task</t>
        </is>
      </c>
      <c r="B297" s="2" t="inlineStr">
        <is>
          <t>CIN-SUB-242</t>
        </is>
      </c>
      <c r="C297" s="2" t="inlineStr">
        <is>
          <t>CIN-T-040</t>
        </is>
      </c>
      <c r="D297" s="2" t="inlineStr">
        <is>
          <t>Domain</t>
        </is>
      </c>
      <c r="E297" s="2" t="inlineStr">
        <is>
          <t>Original Row ID: ORIG-242. Original task: Domain. Original description: Cấu hình domain nếu có.</t>
        </is>
      </c>
      <c r="F297" s="2" t="inlineStr">
        <is>
          <t>24120235</t>
        </is>
      </c>
      <c r="G297" s="2" t="inlineStr">
        <is>
          <t>Huynh Thanh Tu</t>
        </is>
      </c>
      <c r="H297" s="2" t="inlineStr">
        <is>
          <t>Sprint 5</t>
        </is>
      </c>
      <c r="I297" s="3" t="n">
        <v>46354</v>
      </c>
      <c r="J297" s="3" t="n">
        <v>46368</v>
      </c>
      <c r="K297" s="2" t="inlineStr">
        <is>
          <t>Low</t>
        </is>
      </c>
      <c r="L297" s="2" t="inlineStr">
        <is>
          <t>subtask,PH-04,orig-242</t>
        </is>
      </c>
      <c r="M297" s="2" t="inlineStr">
        <is>
          <t>ORIG-242</t>
        </is>
      </c>
      <c r="N297" s="2" t="inlineStr">
        <is>
          <t>CIN-T-039</t>
        </is>
      </c>
      <c r="O297" s="2" t="inlineStr">
        <is>
          <t>PH-04</t>
        </is>
      </c>
      <c r="P297" s="2" t="inlineStr">
        <is>
          <t>CIN-T-040</t>
        </is>
      </c>
    </row>
    <row r="298">
      <c r="A298" s="2" t="inlineStr">
        <is>
          <t>Sub-task</t>
        </is>
      </c>
      <c r="B298" s="2" t="inlineStr">
        <is>
          <t>CIN-SUB-243</t>
        </is>
      </c>
      <c r="C298" s="2" t="inlineStr">
        <is>
          <t>CIN-T-040</t>
        </is>
      </c>
      <c r="D298" s="2" t="inlineStr">
        <is>
          <t>DNS</t>
        </is>
      </c>
      <c r="E298" s="2" t="inlineStr">
        <is>
          <t>Original Row ID: ORIG-243. Original task: DNS. Original description: Trỏ domain về server / hosting.</t>
        </is>
      </c>
      <c r="F298" s="2" t="inlineStr">
        <is>
          <t>24120244</t>
        </is>
      </c>
      <c r="G298" s="2" t="inlineStr">
        <is>
          <t>Phan Van Viet</t>
        </is>
      </c>
      <c r="H298" s="2" t="inlineStr">
        <is>
          <t>Sprint 5</t>
        </is>
      </c>
      <c r="I298" s="3" t="n">
        <v>46354</v>
      </c>
      <c r="J298" s="3" t="n">
        <v>46368</v>
      </c>
      <c r="K298" s="2" t="inlineStr">
        <is>
          <t>Low</t>
        </is>
      </c>
      <c r="L298" s="2" t="inlineStr">
        <is>
          <t>subtask,PH-04,orig-243</t>
        </is>
      </c>
      <c r="M298" s="2" t="inlineStr">
        <is>
          <t>ORIG-243</t>
        </is>
      </c>
      <c r="N298" s="2" t="inlineStr">
        <is>
          <t>CIN-T-039</t>
        </is>
      </c>
      <c r="O298" s="2" t="inlineStr">
        <is>
          <t>PH-04</t>
        </is>
      </c>
      <c r="P298" s="2" t="inlineStr">
        <is>
          <t>CIN-T-040</t>
        </is>
      </c>
    </row>
    <row r="299">
      <c r="A299" s="2" t="inlineStr">
        <is>
          <t>Sub-task</t>
        </is>
      </c>
      <c r="B299" s="2" t="inlineStr">
        <is>
          <t>CIN-SUB-244</t>
        </is>
      </c>
      <c r="C299" s="2" t="inlineStr">
        <is>
          <t>CIN-T-040</t>
        </is>
      </c>
      <c r="D299" s="2" t="inlineStr">
        <is>
          <t>HTTPS / SSL</t>
        </is>
      </c>
      <c r="E299" s="2" t="inlineStr">
        <is>
          <t>Original Row ID: ORIG-244. Original task: HTTPS / SSL. Original description: Cấu hình chứng chỉ SSL.</t>
        </is>
      </c>
      <c r="F299" s="2" t="inlineStr">
        <is>
          <t>24120098</t>
        </is>
      </c>
      <c r="G299" s="2" t="inlineStr">
        <is>
          <t>Nguyen Quoc Nam</t>
        </is>
      </c>
      <c r="H299" s="2" t="inlineStr">
        <is>
          <t>Sprint 5</t>
        </is>
      </c>
      <c r="I299" s="3" t="n">
        <v>46354</v>
      </c>
      <c r="J299" s="3" t="n">
        <v>46368</v>
      </c>
      <c r="K299" s="2" t="inlineStr">
        <is>
          <t>Low</t>
        </is>
      </c>
      <c r="L299" s="2" t="inlineStr">
        <is>
          <t>subtask,PH-04,orig-244</t>
        </is>
      </c>
      <c r="M299" s="2" t="inlineStr">
        <is>
          <t>ORIG-244</t>
        </is>
      </c>
      <c r="N299" s="2" t="inlineStr">
        <is>
          <t>CIN-T-039</t>
        </is>
      </c>
      <c r="O299" s="2" t="inlineStr">
        <is>
          <t>PH-04</t>
        </is>
      </c>
      <c r="P299" s="2" t="inlineStr">
        <is>
          <t>CIN-T-040</t>
        </is>
      </c>
    </row>
    <row r="300">
      <c r="A300" s="2" t="inlineStr">
        <is>
          <t>Sub-task</t>
        </is>
      </c>
      <c r="B300" s="2" t="inlineStr">
        <is>
          <t>CIN-SUB-245</t>
        </is>
      </c>
      <c r="C300" s="2" t="inlineStr">
        <is>
          <t>CIN-T-040</t>
        </is>
      </c>
      <c r="D300" s="2" t="inlineStr">
        <is>
          <t>Production CORS</t>
        </is>
      </c>
      <c r="E300" s="2" t="inlineStr">
        <is>
          <t>Original Row ID: ORIG-245. Original task: Production CORS. Original description: Cho phép đúng frontend domain.</t>
        </is>
      </c>
      <c r="F300" s="2" t="inlineStr">
        <is>
          <t>24120271</t>
        </is>
      </c>
      <c r="G300" s="2" t="inlineStr">
        <is>
          <t>Nguyen Trung Chinh</t>
        </is>
      </c>
      <c r="H300" s="2" t="inlineStr">
        <is>
          <t>Sprint 5</t>
        </is>
      </c>
      <c r="I300" s="3" t="n">
        <v>46354</v>
      </c>
      <c r="J300" s="3" t="n">
        <v>46368</v>
      </c>
      <c r="K300" s="2" t="inlineStr">
        <is>
          <t>Low</t>
        </is>
      </c>
      <c r="L300" s="2" t="inlineStr">
        <is>
          <t>subtask,PH-04,orig-245</t>
        </is>
      </c>
      <c r="M300" s="2" t="inlineStr">
        <is>
          <t>ORIG-245</t>
        </is>
      </c>
      <c r="N300" s="2" t="inlineStr">
        <is>
          <t>CIN-T-039</t>
        </is>
      </c>
      <c r="O300" s="2" t="inlineStr">
        <is>
          <t>PH-04</t>
        </is>
      </c>
      <c r="P300" s="2" t="inlineStr">
        <is>
          <t>CIN-T-040</t>
        </is>
      </c>
    </row>
    <row r="301">
      <c r="A301" s="2" t="inlineStr">
        <is>
          <t>Sub-task</t>
        </is>
      </c>
      <c r="B301" s="2" t="inlineStr">
        <is>
          <t>CIN-SUB-246</t>
        </is>
      </c>
      <c r="C301" s="2" t="inlineStr">
        <is>
          <t>CIN-T-040</t>
        </is>
      </c>
      <c r="D301" s="2" t="inlineStr">
        <is>
          <t>Production Environment Variables</t>
        </is>
      </c>
      <c r="E301" s="2" t="inlineStr">
        <is>
          <t>Original Row ID: ORIG-246. Original task: Production Environment Variables. Original description: JWT, DB, Payment API, AI API,....</t>
        </is>
      </c>
      <c r="F301" s="2" t="inlineStr">
        <is>
          <t>24120255</t>
        </is>
      </c>
      <c r="G301" s="2" t="inlineStr">
        <is>
          <t>Tran Thien An</t>
        </is>
      </c>
      <c r="H301" s="2" t="inlineStr">
        <is>
          <t>Sprint 5</t>
        </is>
      </c>
      <c r="I301" s="3" t="n">
        <v>46354</v>
      </c>
      <c r="J301" s="3" t="n">
        <v>46368</v>
      </c>
      <c r="K301" s="2" t="inlineStr">
        <is>
          <t>Low</t>
        </is>
      </c>
      <c r="L301" s="2" t="inlineStr">
        <is>
          <t>subtask,PH-04,orig-246</t>
        </is>
      </c>
      <c r="M301" s="2" t="inlineStr">
        <is>
          <t>ORIG-246</t>
        </is>
      </c>
      <c r="N301" s="2" t="inlineStr">
        <is>
          <t>CIN-T-039</t>
        </is>
      </c>
      <c r="O301" s="2" t="inlineStr">
        <is>
          <t>PH-04</t>
        </is>
      </c>
      <c r="P301" s="2" t="inlineStr">
        <is>
          <t>CIN-T-040</t>
        </is>
      </c>
    </row>
    <row r="302">
      <c r="A302" s="2" t="inlineStr">
        <is>
          <t>Sub-task</t>
        </is>
      </c>
      <c r="B302" s="2" t="inlineStr">
        <is>
          <t>CIN-SUB-247</t>
        </is>
      </c>
      <c r="C302" s="2" t="inlineStr">
        <is>
          <t>CIN-T-040</t>
        </is>
      </c>
      <c r="D302" s="2" t="inlineStr">
        <is>
          <t>Production Build</t>
        </is>
      </c>
      <c r="E302" s="2" t="inlineStr">
        <is>
          <t>Original Row ID: ORIG-247. Original task: Production Build. Original description: Build đúng cấu hình production.</t>
        </is>
      </c>
      <c r="F302" s="2" t="inlineStr">
        <is>
          <t>24120235</t>
        </is>
      </c>
      <c r="G302" s="2" t="inlineStr">
        <is>
          <t>Huynh Thanh Tu</t>
        </is>
      </c>
      <c r="H302" s="2" t="inlineStr">
        <is>
          <t>Sprint 5</t>
        </is>
      </c>
      <c r="I302" s="3" t="n">
        <v>46354</v>
      </c>
      <c r="J302" s="3" t="n">
        <v>46368</v>
      </c>
      <c r="K302" s="2" t="inlineStr">
        <is>
          <t>Low</t>
        </is>
      </c>
      <c r="L302" s="2" t="inlineStr">
        <is>
          <t>subtask,PH-04,orig-247</t>
        </is>
      </c>
      <c r="M302" s="2" t="inlineStr">
        <is>
          <t>ORIG-247</t>
        </is>
      </c>
      <c r="N302" s="2" t="inlineStr">
        <is>
          <t>CIN-T-039</t>
        </is>
      </c>
      <c r="O302" s="2" t="inlineStr">
        <is>
          <t>PH-04</t>
        </is>
      </c>
      <c r="P302" s="2" t="inlineStr">
        <is>
          <t>CIN-T-040</t>
        </is>
      </c>
    </row>
    <row r="303">
      <c r="A303" s="2" t="inlineStr">
        <is>
          <t>Sub-task</t>
        </is>
      </c>
      <c r="B303" s="2" t="inlineStr">
        <is>
          <t>CIN-SUB-248</t>
        </is>
      </c>
      <c r="C303" s="2" t="inlineStr">
        <is>
          <t>CIN-T-040</t>
        </is>
      </c>
      <c r="D303" s="2" t="inlineStr">
        <is>
          <t>Deployment Verification</t>
        </is>
      </c>
      <c r="E303" s="2" t="inlineStr">
        <is>
          <t>Original Row ID: ORIG-248. Original task: Deployment Verification. Original description: Kiểm tra hệ thống sau deploy.</t>
        </is>
      </c>
      <c r="F303" s="2" t="inlineStr">
        <is>
          <t>24120244</t>
        </is>
      </c>
      <c r="G303" s="2" t="inlineStr">
        <is>
          <t>Phan Van Viet</t>
        </is>
      </c>
      <c r="H303" s="2" t="inlineStr">
        <is>
          <t>Sprint 5</t>
        </is>
      </c>
      <c r="I303" s="3" t="n">
        <v>46354</v>
      </c>
      <c r="J303" s="3" t="n">
        <v>46368</v>
      </c>
      <c r="K303" s="2" t="inlineStr">
        <is>
          <t>Low</t>
        </is>
      </c>
      <c r="L303" s="2" t="inlineStr">
        <is>
          <t>subtask,PH-04,orig-248</t>
        </is>
      </c>
      <c r="M303" s="2" t="inlineStr">
        <is>
          <t>ORIG-248</t>
        </is>
      </c>
      <c r="N303" s="2" t="inlineStr">
        <is>
          <t>CIN-T-039</t>
        </is>
      </c>
      <c r="O303" s="2" t="inlineStr">
        <is>
          <t>PH-04</t>
        </is>
      </c>
      <c r="P303" s="2" t="inlineStr">
        <is>
          <t>CIN-T-040</t>
        </is>
      </c>
    </row>
    <row r="304">
      <c r="A304" s="2" t="inlineStr">
        <is>
          <t>Sub-task</t>
        </is>
      </c>
      <c r="B304" s="2" t="inlineStr">
        <is>
          <t>CIN-SUB-249</t>
        </is>
      </c>
      <c r="C304" s="2" t="inlineStr">
        <is>
          <t>CIN-T-041</t>
        </is>
      </c>
      <c r="D304" s="2" t="inlineStr">
        <is>
          <t>Health Check</t>
        </is>
      </c>
      <c r="E304" s="2" t="inlineStr">
        <is>
          <t>Original Row ID: ORIG-249. Original task: Health Check. Original description: API / Database health check.</t>
        </is>
      </c>
      <c r="F304" s="2" t="inlineStr">
        <is>
          <t>24120098</t>
        </is>
      </c>
      <c r="G304" s="2" t="inlineStr">
        <is>
          <t>Nguyen Quoc Nam</t>
        </is>
      </c>
      <c r="H304" s="2" t="inlineStr">
        <is>
          <t>Sprint 5</t>
        </is>
      </c>
      <c r="I304" s="3" t="n">
        <v>46354</v>
      </c>
      <c r="J304" s="3" t="n">
        <v>46368</v>
      </c>
      <c r="K304" s="2" t="inlineStr">
        <is>
          <t>Low</t>
        </is>
      </c>
      <c r="L304" s="2" t="inlineStr">
        <is>
          <t>subtask,PH-04,orig-249</t>
        </is>
      </c>
      <c r="M304" s="2" t="inlineStr">
        <is>
          <t>ORIG-249</t>
        </is>
      </c>
      <c r="N304" s="2" t="inlineStr">
        <is>
          <t>CIN-T-039</t>
        </is>
      </c>
      <c r="O304" s="2" t="inlineStr">
        <is>
          <t>PH-04</t>
        </is>
      </c>
      <c r="P304" s="2" t="inlineStr">
        <is>
          <t>CIN-T-041</t>
        </is>
      </c>
    </row>
    <row r="305">
      <c r="A305" s="2" t="inlineStr">
        <is>
          <t>Sub-task</t>
        </is>
      </c>
      <c r="B305" s="2" t="inlineStr">
        <is>
          <t>CIN-SUB-250</t>
        </is>
      </c>
      <c r="C305" s="2" t="inlineStr">
        <is>
          <t>CIN-T-041</t>
        </is>
      </c>
      <c r="D305" s="2" t="inlineStr">
        <is>
          <t>Logging</t>
        </is>
      </c>
      <c r="E305" s="2" t="inlineStr">
        <is>
          <t>Original Row ID: ORIG-250. Original task: Logging. Original description: Log API, database, authentication, booking, payment.</t>
        </is>
      </c>
      <c r="F305" s="2" t="inlineStr">
        <is>
          <t>24120271</t>
        </is>
      </c>
      <c r="G305" s="2" t="inlineStr">
        <is>
          <t>Nguyen Trung Chinh</t>
        </is>
      </c>
      <c r="H305" s="2" t="inlineStr">
        <is>
          <t>Sprint 5</t>
        </is>
      </c>
      <c r="I305" s="3" t="n">
        <v>46354</v>
      </c>
      <c r="J305" s="3" t="n">
        <v>46368</v>
      </c>
      <c r="K305" s="2" t="inlineStr">
        <is>
          <t>Low</t>
        </is>
      </c>
      <c r="L305" s="2" t="inlineStr">
        <is>
          <t>subtask,PH-04,orig-250</t>
        </is>
      </c>
      <c r="M305" s="2" t="inlineStr">
        <is>
          <t>ORIG-250</t>
        </is>
      </c>
      <c r="N305" s="2" t="inlineStr">
        <is>
          <t>CIN-T-039</t>
        </is>
      </c>
      <c r="O305" s="2" t="inlineStr">
        <is>
          <t>PH-04</t>
        </is>
      </c>
      <c r="P305" s="2" t="inlineStr">
        <is>
          <t>CIN-T-041</t>
        </is>
      </c>
    </row>
    <row r="306">
      <c r="A306" s="2" t="inlineStr">
        <is>
          <t>Sub-task</t>
        </is>
      </c>
      <c r="B306" s="2" t="inlineStr">
        <is>
          <t>CIN-SUB-251</t>
        </is>
      </c>
      <c r="C306" s="2" t="inlineStr">
        <is>
          <t>CIN-T-041</t>
        </is>
      </c>
      <c r="D306" s="2" t="inlineStr">
        <is>
          <t>Error Monitoring</t>
        </is>
      </c>
      <c r="E306" s="2" t="inlineStr">
        <is>
          <t>Original Row ID: ORIG-251. Original task: Error Monitoring. Original description: Theo dõi lỗi production.</t>
        </is>
      </c>
      <c r="F306" s="2" t="inlineStr">
        <is>
          <t>24120235</t>
        </is>
      </c>
      <c r="G306" s="2" t="inlineStr">
        <is>
          <t>Huynh Thanh Tu</t>
        </is>
      </c>
      <c r="H306" s="2" t="inlineStr">
        <is>
          <t>Sprint 5</t>
        </is>
      </c>
      <c r="I306" s="3" t="n">
        <v>46354</v>
      </c>
      <c r="J306" s="3" t="n">
        <v>46368</v>
      </c>
      <c r="K306" s="2" t="inlineStr">
        <is>
          <t>Low</t>
        </is>
      </c>
      <c r="L306" s="2" t="inlineStr">
        <is>
          <t>subtask,PH-04,orig-251</t>
        </is>
      </c>
      <c r="M306" s="2" t="inlineStr">
        <is>
          <t>ORIG-251</t>
        </is>
      </c>
      <c r="N306" s="2" t="inlineStr">
        <is>
          <t>CIN-T-039</t>
        </is>
      </c>
      <c r="O306" s="2" t="inlineStr">
        <is>
          <t>PH-04</t>
        </is>
      </c>
      <c r="P306" s="2" t="inlineStr">
        <is>
          <t>CIN-T-041</t>
        </is>
      </c>
    </row>
    <row r="307">
      <c r="A307" s="2" t="inlineStr">
        <is>
          <t>Sub-task</t>
        </is>
      </c>
      <c r="B307" s="2" t="inlineStr">
        <is>
          <t>CIN-SUB-252</t>
        </is>
      </c>
      <c r="C307" s="2" t="inlineStr">
        <is>
          <t>CIN-T-041</t>
        </is>
      </c>
      <c r="D307" s="2" t="inlineStr">
        <is>
          <t>Database Backup</t>
        </is>
      </c>
      <c r="E307" s="2" t="inlineStr">
        <is>
          <t>Original Row ID: ORIG-252. Original task: Database Backup. Original description: Backup PostgreSQL.</t>
        </is>
      </c>
      <c r="F307" s="2" t="inlineStr">
        <is>
          <t>24120255</t>
        </is>
      </c>
      <c r="G307" s="2" t="inlineStr">
        <is>
          <t>Tran Thien An</t>
        </is>
      </c>
      <c r="H307" s="2" t="inlineStr">
        <is>
          <t>Sprint 5</t>
        </is>
      </c>
      <c r="I307" s="3" t="n">
        <v>46354</v>
      </c>
      <c r="J307" s="3" t="n">
        <v>46368</v>
      </c>
      <c r="K307" s="2" t="inlineStr">
        <is>
          <t>Low</t>
        </is>
      </c>
      <c r="L307" s="2" t="inlineStr">
        <is>
          <t>subtask,PH-04,orig-252</t>
        </is>
      </c>
      <c r="M307" s="2" t="inlineStr">
        <is>
          <t>ORIG-252</t>
        </is>
      </c>
      <c r="N307" s="2" t="inlineStr">
        <is>
          <t>CIN-T-039</t>
        </is>
      </c>
      <c r="O307" s="2" t="inlineStr">
        <is>
          <t>PH-04</t>
        </is>
      </c>
      <c r="P307" s="2" t="inlineStr">
        <is>
          <t>CIN-T-041</t>
        </is>
      </c>
    </row>
    <row r="308">
      <c r="A308" s="2" t="inlineStr">
        <is>
          <t>Sub-task</t>
        </is>
      </c>
      <c r="B308" s="2" t="inlineStr">
        <is>
          <t>CIN-SUB-253</t>
        </is>
      </c>
      <c r="C308" s="2" t="inlineStr">
        <is>
          <t>CIN-T-041</t>
        </is>
      </c>
      <c r="D308" s="2" t="inlineStr">
        <is>
          <t>Database Restore Test</t>
        </is>
      </c>
      <c r="E308" s="2" t="inlineStr">
        <is>
          <t>Original Row ID: ORIG-253. Original task: Database Restore Test. Original description: Kiểm tra khả năng restore.</t>
        </is>
      </c>
      <c r="F308" s="2" t="inlineStr">
        <is>
          <t>24120098</t>
        </is>
      </c>
      <c r="G308" s="2" t="inlineStr">
        <is>
          <t>Nguyen Quoc Nam</t>
        </is>
      </c>
      <c r="H308" s="2" t="inlineStr">
        <is>
          <t>Sprint 5</t>
        </is>
      </c>
      <c r="I308" s="3" t="n">
        <v>46354</v>
      </c>
      <c r="J308" s="3" t="n">
        <v>46368</v>
      </c>
      <c r="K308" s="2" t="inlineStr">
        <is>
          <t>Low</t>
        </is>
      </c>
      <c r="L308" s="2" t="inlineStr">
        <is>
          <t>subtask,PH-04,orig-253</t>
        </is>
      </c>
      <c r="M308" s="2" t="inlineStr">
        <is>
          <t>ORIG-253</t>
        </is>
      </c>
      <c r="N308" s="2" t="inlineStr">
        <is>
          <t>CIN-T-039</t>
        </is>
      </c>
      <c r="O308" s="2" t="inlineStr">
        <is>
          <t>PH-04</t>
        </is>
      </c>
      <c r="P308" s="2" t="inlineStr">
        <is>
          <t>CIN-T-041</t>
        </is>
      </c>
    </row>
    <row r="309">
      <c r="A309" s="2" t="inlineStr">
        <is>
          <t>Sub-task</t>
        </is>
      </c>
      <c r="B309" s="2" t="inlineStr">
        <is>
          <t>CIN-SUB-254</t>
        </is>
      </c>
      <c r="C309" s="2" t="inlineStr">
        <is>
          <t>CIN-T-041</t>
        </is>
      </c>
      <c r="D309" s="2" t="inlineStr">
        <is>
          <t>Monitoring</t>
        </is>
      </c>
      <c r="E309" s="2" t="inlineStr">
        <is>
          <t>Original Row ID: ORIG-254. Original task: Monitoring. Original description: Theo dõi server / API / database.</t>
        </is>
      </c>
      <c r="F309" s="2" t="inlineStr">
        <is>
          <t>24120271</t>
        </is>
      </c>
      <c r="G309" s="2" t="inlineStr">
        <is>
          <t>Nguyen Trung Chinh</t>
        </is>
      </c>
      <c r="H309" s="2" t="inlineStr">
        <is>
          <t>Sprint 5</t>
        </is>
      </c>
      <c r="I309" s="3" t="n">
        <v>46354</v>
      </c>
      <c r="J309" s="3" t="n">
        <v>46368</v>
      </c>
      <c r="K309" s="2" t="inlineStr">
        <is>
          <t>Low</t>
        </is>
      </c>
      <c r="L309" s="2" t="inlineStr">
        <is>
          <t>subtask,PH-04,orig-254</t>
        </is>
      </c>
      <c r="M309" s="2" t="inlineStr">
        <is>
          <t>ORIG-254</t>
        </is>
      </c>
      <c r="N309" s="2" t="inlineStr">
        <is>
          <t>CIN-T-039</t>
        </is>
      </c>
      <c r="O309" s="2" t="inlineStr">
        <is>
          <t>PH-04</t>
        </is>
      </c>
      <c r="P309" s="2" t="inlineStr">
        <is>
          <t>CIN-T-041</t>
        </is>
      </c>
    </row>
    <row r="310">
      <c r="A310" s="2" t="inlineStr">
        <is>
          <t>Sub-task</t>
        </is>
      </c>
      <c r="B310" s="2" t="inlineStr">
        <is>
          <t>CIN-SUB-255</t>
        </is>
      </c>
      <c r="C310" s="2" t="inlineStr">
        <is>
          <t>CIN-T-041</t>
        </is>
      </c>
      <c r="D310" s="2" t="inlineStr">
        <is>
          <t>Performance Check</t>
        </is>
      </c>
      <c r="E310" s="2" t="inlineStr">
        <is>
          <t>Original Row ID: ORIG-255. Original task: Performance Check. Original description: Kiểm tra response time và tải cơ bản.</t>
        </is>
      </c>
      <c r="F310" s="2" t="inlineStr">
        <is>
          <t>24120244</t>
        </is>
      </c>
      <c r="G310" s="2" t="inlineStr">
        <is>
          <t>Phan Van Viet</t>
        </is>
      </c>
      <c r="H310" s="2" t="inlineStr">
        <is>
          <t>Sprint 5</t>
        </is>
      </c>
      <c r="I310" s="3" t="n">
        <v>46354</v>
      </c>
      <c r="J310" s="3" t="n">
        <v>46368</v>
      </c>
      <c r="K310" s="2" t="inlineStr">
        <is>
          <t>Low</t>
        </is>
      </c>
      <c r="L310" s="2" t="inlineStr">
        <is>
          <t>subtask,PH-04,orig-255</t>
        </is>
      </c>
      <c r="M310" s="2" t="inlineStr">
        <is>
          <t>ORIG-255</t>
        </is>
      </c>
      <c r="N310" s="2" t="inlineStr">
        <is>
          <t>CIN-T-039</t>
        </is>
      </c>
      <c r="O310" s="2" t="inlineStr">
        <is>
          <t>PH-04</t>
        </is>
      </c>
      <c r="P310" s="2" t="inlineStr">
        <is>
          <t>CIN-T-041</t>
        </is>
      </c>
    </row>
    <row r="311">
      <c r="A311" s="2" t="inlineStr">
        <is>
          <t>Sub-task</t>
        </is>
      </c>
      <c r="B311" s="2" t="inlineStr">
        <is>
          <t>CIN-SUB-256</t>
        </is>
      </c>
      <c r="C311" s="2" t="inlineStr">
        <is>
          <t>CIN-T-041</t>
        </is>
      </c>
      <c r="D311" s="2" t="inlineStr">
        <is>
          <t>Production Smoke Test</t>
        </is>
      </c>
      <c r="E311" s="2" t="inlineStr">
        <is>
          <t>Original Row ID: ORIG-256. Original task: Production Smoke Test. Original description: Kiểm tra các chức năng quan trọng sau deploy.</t>
        </is>
      </c>
      <c r="F311" s="2" t="inlineStr">
        <is>
          <t>24120235</t>
        </is>
      </c>
      <c r="G311" s="2" t="inlineStr">
        <is>
          <t>Huynh Thanh Tu</t>
        </is>
      </c>
      <c r="H311" s="2" t="inlineStr">
        <is>
          <t>Sprint 5</t>
        </is>
      </c>
      <c r="I311" s="3" t="n">
        <v>46354</v>
      </c>
      <c r="J311" s="3" t="n">
        <v>46368</v>
      </c>
      <c r="K311" s="2" t="inlineStr">
        <is>
          <t>Low</t>
        </is>
      </c>
      <c r="L311" s="2" t="inlineStr">
        <is>
          <t>subtask,PH-04,orig-256</t>
        </is>
      </c>
      <c r="M311" s="2" t="inlineStr">
        <is>
          <t>ORIG-256</t>
        </is>
      </c>
      <c r="N311" s="2" t="inlineStr">
        <is>
          <t>CIN-T-039</t>
        </is>
      </c>
      <c r="O311" s="2" t="inlineStr">
        <is>
          <t>PH-04</t>
        </is>
      </c>
      <c r="P311" s="2" t="inlineStr">
        <is>
          <t>CIN-T-041</t>
        </is>
      </c>
    </row>
    <row r="312">
      <c r="A312" s="2" t="inlineStr">
        <is>
          <t>Sub-task</t>
        </is>
      </c>
      <c r="B312" s="2" t="inlineStr">
        <is>
          <t>CIN-SUB-257</t>
        </is>
      </c>
      <c r="C312" s="2" t="inlineStr">
        <is>
          <t>CIN-T-042</t>
        </is>
      </c>
      <c r="D312" s="2" t="inlineStr">
        <is>
          <t>README</t>
        </is>
      </c>
      <c r="E312" s="2" t="inlineStr">
        <is>
          <t>Original Row ID: ORIG-257. Original task: README. Original description: Hướng dẫn cài đặt và chạy project.</t>
        </is>
      </c>
      <c r="F312" s="2" t="inlineStr">
        <is>
          <t>24120271</t>
        </is>
      </c>
      <c r="G312" s="2" t="inlineStr">
        <is>
          <t>Nguyen Trung Chinh</t>
        </is>
      </c>
      <c r="H312" s="2" t="inlineStr">
        <is>
          <t>Sprint 2</t>
        </is>
      </c>
      <c r="I312" s="3" t="n">
        <v>46312</v>
      </c>
      <c r="J312" s="3" t="n">
        <v>46325</v>
      </c>
      <c r="K312" s="2" t="inlineStr">
        <is>
          <t>Medium</t>
        </is>
      </c>
      <c r="L312" s="2" t="inlineStr">
        <is>
          <t>subtask,PH-02,orig-257</t>
        </is>
      </c>
      <c r="M312" s="2" t="inlineStr">
        <is>
          <t>ORIG-257</t>
        </is>
      </c>
      <c r="N312" s="2" t="inlineStr">
        <is>
          <t>CIN-T-007, CIN-T-003</t>
        </is>
      </c>
      <c r="O312" s="2" t="inlineStr">
        <is>
          <t>PH-02</t>
        </is>
      </c>
      <c r="P312" s="2" t="inlineStr">
        <is>
          <t>CIN-T-042</t>
        </is>
      </c>
    </row>
    <row r="313">
      <c r="A313" s="2" t="inlineStr">
        <is>
          <t>Sub-task</t>
        </is>
      </c>
      <c r="B313" s="2" t="inlineStr">
        <is>
          <t>CIN-SUB-258</t>
        </is>
      </c>
      <c r="C313" s="2" t="inlineStr">
        <is>
          <t>CIN-T-042</t>
        </is>
      </c>
      <c r="D313" s="2" t="inlineStr">
        <is>
          <t>Architecture Documentation</t>
        </is>
      </c>
      <c r="E313" s="2" t="inlineStr">
        <is>
          <t>Original Row ID: ORIG-258. Original task: Architecture Documentation. Original description: Mô tả kiến trúc.</t>
        </is>
      </c>
      <c r="F313" s="2" t="inlineStr">
        <is>
          <t>24120244</t>
        </is>
      </c>
      <c r="G313" s="2" t="inlineStr">
        <is>
          <t>Phan Van Viet</t>
        </is>
      </c>
      <c r="H313" s="2" t="inlineStr">
        <is>
          <t>Sprint 2</t>
        </is>
      </c>
      <c r="I313" s="3" t="n">
        <v>46312</v>
      </c>
      <c r="J313" s="3" t="n">
        <v>46325</v>
      </c>
      <c r="K313" s="2" t="inlineStr">
        <is>
          <t>Medium</t>
        </is>
      </c>
      <c r="L313" s="2" t="inlineStr">
        <is>
          <t>subtask,PH-02,orig-258</t>
        </is>
      </c>
      <c r="M313" s="2" t="inlineStr">
        <is>
          <t>ORIG-258</t>
        </is>
      </c>
      <c r="N313" s="2" t="inlineStr">
        <is>
          <t>CIN-T-007, CIN-T-003</t>
        </is>
      </c>
      <c r="O313" s="2" t="inlineStr">
        <is>
          <t>PH-02</t>
        </is>
      </c>
      <c r="P313" s="2" t="inlineStr">
        <is>
          <t>CIN-T-042</t>
        </is>
      </c>
    </row>
    <row r="314">
      <c r="A314" s="2" t="inlineStr">
        <is>
          <t>Sub-task</t>
        </is>
      </c>
      <c r="B314" s="2" t="inlineStr">
        <is>
          <t>CIN-SUB-259</t>
        </is>
      </c>
      <c r="C314" s="2" t="inlineStr">
        <is>
          <t>CIN-T-042</t>
        </is>
      </c>
      <c r="D314" s="2" t="inlineStr">
        <is>
          <t>Database Documentation</t>
        </is>
      </c>
      <c r="E314" s="2" t="inlineStr">
        <is>
          <t>Original Row ID: ORIG-259. Original task: Database Documentation. Original description: ERD + mô tả bảng.</t>
        </is>
      </c>
      <c r="F314" s="2" t="inlineStr">
        <is>
          <t>24120271</t>
        </is>
      </c>
      <c r="G314" s="2" t="inlineStr">
        <is>
          <t>Nguyen Trung Chinh</t>
        </is>
      </c>
      <c r="H314" s="2" t="inlineStr">
        <is>
          <t>Sprint 2</t>
        </is>
      </c>
      <c r="I314" s="3" t="n">
        <v>46312</v>
      </c>
      <c r="J314" s="3" t="n">
        <v>46325</v>
      </c>
      <c r="K314" s="2" t="inlineStr">
        <is>
          <t>Medium</t>
        </is>
      </c>
      <c r="L314" s="2" t="inlineStr">
        <is>
          <t>subtask,PH-02,orig-259</t>
        </is>
      </c>
      <c r="M314" s="2" t="inlineStr">
        <is>
          <t>ORIG-259</t>
        </is>
      </c>
      <c r="N314" s="2" t="inlineStr">
        <is>
          <t>CIN-T-007, CIN-T-003</t>
        </is>
      </c>
      <c r="O314" s="2" t="inlineStr">
        <is>
          <t>PH-02</t>
        </is>
      </c>
      <c r="P314" s="2" t="inlineStr">
        <is>
          <t>CIN-T-042</t>
        </is>
      </c>
    </row>
    <row r="315">
      <c r="A315" s="2" t="inlineStr">
        <is>
          <t>Sub-task</t>
        </is>
      </c>
      <c r="B315" s="2" t="inlineStr">
        <is>
          <t>CIN-SUB-260</t>
        </is>
      </c>
      <c r="C315" s="2" t="inlineStr">
        <is>
          <t>CIN-T-043</t>
        </is>
      </c>
      <c r="D315" s="2" t="inlineStr">
        <is>
          <t>API Documentation</t>
        </is>
      </c>
      <c r="E315" s="2" t="inlineStr">
        <is>
          <t>Original Row ID: ORIG-260. Original task: API Documentation. Original description: Swagger / API specification.</t>
        </is>
      </c>
      <c r="F315" s="2" t="inlineStr">
        <is>
          <t>24120235</t>
        </is>
      </c>
      <c r="G315" s="2" t="inlineStr">
        <is>
          <t>Huynh Thanh Tu</t>
        </is>
      </c>
      <c r="H315" s="2" t="inlineStr">
        <is>
          <t>Sprint 3</t>
        </is>
      </c>
      <c r="I315" s="3" t="n">
        <v>46326</v>
      </c>
      <c r="J315" s="3" t="n">
        <v>46339</v>
      </c>
      <c r="K315" s="2" t="inlineStr">
        <is>
          <t>Medium</t>
        </is>
      </c>
      <c r="L315" s="2" t="inlineStr">
        <is>
          <t>subtask,PH-03,orig-260</t>
        </is>
      </c>
      <c r="M315" s="2" t="inlineStr">
        <is>
          <t>ORIG-260</t>
        </is>
      </c>
      <c r="N315" s="2" t="inlineStr">
        <is>
          <t>CIN-T-014, CIN-T-037</t>
        </is>
      </c>
      <c r="O315" s="2" t="inlineStr">
        <is>
          <t>PH-03</t>
        </is>
      </c>
      <c r="P315" s="2" t="inlineStr">
        <is>
          <t>CIN-T-043</t>
        </is>
      </c>
    </row>
    <row r="316">
      <c r="A316" s="2" t="inlineStr">
        <is>
          <t>Sub-task</t>
        </is>
      </c>
      <c r="B316" s="2" t="inlineStr">
        <is>
          <t>CIN-SUB-261</t>
        </is>
      </c>
      <c r="C316" s="2" t="inlineStr">
        <is>
          <t>CIN-T-044</t>
        </is>
      </c>
      <c r="D316" s="2" t="inlineStr">
        <is>
          <t>Deployment Documentation</t>
        </is>
      </c>
      <c r="E316" s="2" t="inlineStr">
        <is>
          <t>Original Row ID: ORIG-261. Original task: Deployment Documentation. Original description: Hướng dẫn deploy.</t>
        </is>
      </c>
      <c r="F316" s="2" t="inlineStr">
        <is>
          <t>24120255</t>
        </is>
      </c>
      <c r="G316" s="2" t="inlineStr">
        <is>
          <t>Tran Thien An</t>
        </is>
      </c>
      <c r="H316" s="2" t="inlineStr">
        <is>
          <t>Sprint 5</t>
        </is>
      </c>
      <c r="I316" s="3" t="n">
        <v>46354</v>
      </c>
      <c r="J316" s="3" t="n">
        <v>46368</v>
      </c>
      <c r="K316" s="2" t="inlineStr">
        <is>
          <t>Medium</t>
        </is>
      </c>
      <c r="L316" s="2" t="inlineStr">
        <is>
          <t>subtask,PH-04,orig-261</t>
        </is>
      </c>
      <c r="M316" s="2" t="inlineStr">
        <is>
          <t>ORIG-261</t>
        </is>
      </c>
      <c r="N316" s="2" t="inlineStr">
        <is>
          <t>CIN-T-039, CIN-T-028</t>
        </is>
      </c>
      <c r="O316" s="2" t="inlineStr">
        <is>
          <t>PH-04</t>
        </is>
      </c>
      <c r="P316" s="2" t="inlineStr">
        <is>
          <t>CIN-T-044</t>
        </is>
      </c>
    </row>
    <row r="317">
      <c r="A317" s="2" t="inlineStr">
        <is>
          <t>Sub-task</t>
        </is>
      </c>
      <c r="B317" s="2" t="inlineStr">
        <is>
          <t>CIN-SUB-262</t>
        </is>
      </c>
      <c r="C317" s="2" t="inlineStr">
        <is>
          <t>CIN-T-043</t>
        </is>
      </c>
      <c r="D317" s="2" t="inlineStr">
        <is>
          <t>Environment Documentation</t>
        </is>
      </c>
      <c r="E317" s="2" t="inlineStr">
        <is>
          <t>Original Row ID: ORIG-262. Original task: Environment Documentation. Original description: Các biến môi trường cần thiết.</t>
        </is>
      </c>
      <c r="F317" s="2" t="inlineStr">
        <is>
          <t>24120271</t>
        </is>
      </c>
      <c r="G317" s="2" t="inlineStr">
        <is>
          <t>Nguyen Trung Chinh</t>
        </is>
      </c>
      <c r="H317" s="2" t="inlineStr">
        <is>
          <t>Sprint 3</t>
        </is>
      </c>
      <c r="I317" s="3" t="n">
        <v>46326</v>
      </c>
      <c r="J317" s="3" t="n">
        <v>46339</v>
      </c>
      <c r="K317" s="2" t="inlineStr">
        <is>
          <t>Medium</t>
        </is>
      </c>
      <c r="L317" s="2" t="inlineStr">
        <is>
          <t>subtask,PH-03,orig-262</t>
        </is>
      </c>
      <c r="M317" s="2" t="inlineStr">
        <is>
          <t>ORIG-262</t>
        </is>
      </c>
      <c r="N317" s="2" t="inlineStr">
        <is>
          <t>CIN-T-014, CIN-T-037</t>
        </is>
      </c>
      <c r="O317" s="2" t="inlineStr">
        <is>
          <t>PH-03</t>
        </is>
      </c>
      <c r="P317" s="2" t="inlineStr">
        <is>
          <t>CIN-T-043</t>
        </is>
      </c>
    </row>
    <row r="318">
      <c r="A318" s="2" t="inlineStr">
        <is>
          <t>Sub-task</t>
        </is>
      </c>
      <c r="B318" s="2" t="inlineStr">
        <is>
          <t>CIN-SUB-263</t>
        </is>
      </c>
      <c r="C318" s="2" t="inlineStr">
        <is>
          <t>CIN-T-044</t>
        </is>
      </c>
      <c r="D318" s="2" t="inlineStr">
        <is>
          <t>User Guide</t>
        </is>
      </c>
      <c r="E318" s="2" t="inlineStr">
        <is>
          <t>Original Row ID: ORIG-263. Original task: User Guide. Original description: Hướng dẫn sử dụng cho Customer / Staff / Admin.</t>
        </is>
      </c>
      <c r="F318" s="2" t="inlineStr">
        <is>
          <t>24120098</t>
        </is>
      </c>
      <c r="G318" s="2" t="inlineStr">
        <is>
          <t>Nguyen Quoc Nam</t>
        </is>
      </c>
      <c r="H318" s="2" t="inlineStr">
        <is>
          <t>Sprint 5</t>
        </is>
      </c>
      <c r="I318" s="3" t="n">
        <v>46354</v>
      </c>
      <c r="J318" s="3" t="n">
        <v>46368</v>
      </c>
      <c r="K318" s="2" t="inlineStr">
        <is>
          <t>Medium</t>
        </is>
      </c>
      <c r="L318" s="2" t="inlineStr">
        <is>
          <t>subtask,PH-04,orig-263</t>
        </is>
      </c>
      <c r="M318" s="2" t="inlineStr">
        <is>
          <t>ORIG-263</t>
        </is>
      </c>
      <c r="N318" s="2" t="inlineStr">
        <is>
          <t>CIN-T-039, CIN-T-028</t>
        </is>
      </c>
      <c r="O318" s="2" t="inlineStr">
        <is>
          <t>PH-04</t>
        </is>
      </c>
      <c r="P318" s="2" t="inlineStr">
        <is>
          <t>CIN-T-044</t>
        </is>
      </c>
    </row>
    <row r="319">
      <c r="A319" s="2" t="inlineStr">
        <is>
          <t>Sub-task</t>
        </is>
      </c>
      <c r="B319" s="2" t="inlineStr">
        <is>
          <t>CIN-SUB-264</t>
        </is>
      </c>
      <c r="C319" s="2" t="inlineStr">
        <is>
          <t>CIN-T-045</t>
        </is>
      </c>
      <c r="D319" s="2" t="inlineStr">
        <is>
          <t>Merge toàn bộ module</t>
        </is>
      </c>
      <c r="E319" s="2" t="inlineStr">
        <is>
          <t>Original Row ID: ORIG-264. Original task: Merge toàn bộ module. Original description: Backend + Frontend + Database.</t>
        </is>
      </c>
      <c r="F319" s="2" t="inlineStr">
        <is>
          <t>24120244</t>
        </is>
      </c>
      <c r="G319" s="2" t="inlineStr">
        <is>
          <t>Phan Van Viet</t>
        </is>
      </c>
      <c r="H319" s="2" t="inlineStr">
        <is>
          <t>Sprint 5</t>
        </is>
      </c>
      <c r="I319" s="3" t="n">
        <v>46354</v>
      </c>
      <c r="J319" s="3" t="n">
        <v>46368</v>
      </c>
      <c r="K319" s="2" t="inlineStr">
        <is>
          <t>High</t>
        </is>
      </c>
      <c r="L319" s="2" t="inlineStr">
        <is>
          <t>subtask,PH-04,orig-264</t>
        </is>
      </c>
      <c r="M319" s="2" t="inlineStr">
        <is>
          <t>ORIG-264</t>
        </is>
      </c>
      <c r="N319" s="2" t="inlineStr">
        <is>
          <t>CIN-T-027, CIN-T-035, CIN-T-028, CIN-T-039</t>
        </is>
      </c>
      <c r="O319" s="2" t="inlineStr">
        <is>
          <t>PH-04</t>
        </is>
      </c>
      <c r="P319" s="2" t="inlineStr">
        <is>
          <t>CIN-T-045</t>
        </is>
      </c>
    </row>
    <row r="320">
      <c r="A320" s="2" t="inlineStr">
        <is>
          <t>Sub-task</t>
        </is>
      </c>
      <c r="B320" s="2" t="inlineStr">
        <is>
          <t>CIN-SUB-265</t>
        </is>
      </c>
      <c r="C320" s="2" t="inlineStr">
        <is>
          <t>CIN-T-045</t>
        </is>
      </c>
      <c r="D320" s="2" t="inlineStr">
        <is>
          <t>Kiểm tra API Integration</t>
        </is>
      </c>
      <c r="E320" s="2" t="inlineStr">
        <is>
          <t>Original Row ID: ORIG-265. Original task: Kiểm tra API Integration. Original description: Toàn bộ Frontend gọi đúng Backend.</t>
        </is>
      </c>
      <c r="F320" s="2" t="inlineStr">
        <is>
          <t>24120271</t>
        </is>
      </c>
      <c r="G320" s="2" t="inlineStr">
        <is>
          <t>Nguyen Trung Chinh</t>
        </is>
      </c>
      <c r="H320" s="2" t="inlineStr">
        <is>
          <t>Sprint 5</t>
        </is>
      </c>
      <c r="I320" s="3" t="n">
        <v>46354</v>
      </c>
      <c r="J320" s="3" t="n">
        <v>46368</v>
      </c>
      <c r="K320" s="2" t="inlineStr">
        <is>
          <t>High</t>
        </is>
      </c>
      <c r="L320" s="2" t="inlineStr">
        <is>
          <t>subtask,PH-04,orig-265</t>
        </is>
      </c>
      <c r="M320" s="2" t="inlineStr">
        <is>
          <t>ORIG-265</t>
        </is>
      </c>
      <c r="N320" s="2" t="inlineStr">
        <is>
          <t>CIN-T-027, CIN-T-035, CIN-T-028, CIN-T-039</t>
        </is>
      </c>
      <c r="O320" s="2" t="inlineStr">
        <is>
          <t>PH-04</t>
        </is>
      </c>
      <c r="P320" s="2" t="inlineStr">
        <is>
          <t>CIN-T-045</t>
        </is>
      </c>
    </row>
    <row r="321">
      <c r="A321" s="2" t="inlineStr">
        <is>
          <t>Sub-task</t>
        </is>
      </c>
      <c r="B321" s="2" t="inlineStr">
        <is>
          <t>CIN-SUB-266</t>
        </is>
      </c>
      <c r="C321" s="2" t="inlineStr">
        <is>
          <t>CIN-T-045</t>
        </is>
      </c>
      <c r="D321" s="2" t="inlineStr">
        <is>
          <t>Kiểm tra Authentication</t>
        </is>
      </c>
      <c r="E321" s="2" t="inlineStr">
        <is>
          <t>Original Row ID: ORIG-266. Original task: Kiểm tra Authentication. Original description: Login + Role + Authorization.</t>
        </is>
      </c>
      <c r="F321" s="2" t="inlineStr">
        <is>
          <t>24120098</t>
        </is>
      </c>
      <c r="G321" s="2" t="inlineStr">
        <is>
          <t>Nguyen Quoc Nam</t>
        </is>
      </c>
      <c r="H321" s="2" t="inlineStr">
        <is>
          <t>Sprint 5</t>
        </is>
      </c>
      <c r="I321" s="3" t="n">
        <v>46354</v>
      </c>
      <c r="J321" s="3" t="n">
        <v>46368</v>
      </c>
      <c r="K321" s="2" t="inlineStr">
        <is>
          <t>High</t>
        </is>
      </c>
      <c r="L321" s="2" t="inlineStr">
        <is>
          <t>subtask,PH-04,orig-266</t>
        </is>
      </c>
      <c r="M321" s="2" t="inlineStr">
        <is>
          <t>ORIG-266</t>
        </is>
      </c>
      <c r="N321" s="2" t="inlineStr">
        <is>
          <t>CIN-T-027, CIN-T-035, CIN-T-028, CIN-T-039</t>
        </is>
      </c>
      <c r="O321" s="2" t="inlineStr">
        <is>
          <t>PH-04</t>
        </is>
      </c>
      <c r="P321" s="2" t="inlineStr">
        <is>
          <t>CIN-T-045</t>
        </is>
      </c>
    </row>
    <row r="322">
      <c r="A322" s="2" t="inlineStr">
        <is>
          <t>Sub-task</t>
        </is>
      </c>
      <c r="B322" s="2" t="inlineStr">
        <is>
          <t>CIN-SUB-267</t>
        </is>
      </c>
      <c r="C322" s="2" t="inlineStr">
        <is>
          <t>CIN-T-045</t>
        </is>
      </c>
      <c r="D322" s="2" t="inlineStr">
        <is>
          <t>Kiểm tra Booking Flow</t>
        </is>
      </c>
      <c r="E322" s="2" t="inlineStr">
        <is>
          <t>Original Row ID: ORIG-267. Original task: Kiểm tra Booking Flow. Original description: Movie → Showtime → Seat → Booking → Payment → Ticket.</t>
        </is>
      </c>
      <c r="F322" s="2" t="inlineStr">
        <is>
          <t>24120235</t>
        </is>
      </c>
      <c r="G322" s="2" t="inlineStr">
        <is>
          <t>Huynh Thanh Tu</t>
        </is>
      </c>
      <c r="H322" s="2" t="inlineStr">
        <is>
          <t>Sprint 5</t>
        </is>
      </c>
      <c r="I322" s="3" t="n">
        <v>46354</v>
      </c>
      <c r="J322" s="3" t="n">
        <v>46368</v>
      </c>
      <c r="K322" s="2" t="inlineStr">
        <is>
          <t>High</t>
        </is>
      </c>
      <c r="L322" s="2" t="inlineStr">
        <is>
          <t>subtask,PH-04,orig-267</t>
        </is>
      </c>
      <c r="M322" s="2" t="inlineStr">
        <is>
          <t>ORIG-267</t>
        </is>
      </c>
      <c r="N322" s="2" t="inlineStr">
        <is>
          <t>CIN-T-027, CIN-T-035, CIN-T-028, CIN-T-039</t>
        </is>
      </c>
      <c r="O322" s="2" t="inlineStr">
        <is>
          <t>PH-04</t>
        </is>
      </c>
      <c r="P322" s="2" t="inlineStr">
        <is>
          <t>CIN-T-045</t>
        </is>
      </c>
    </row>
    <row r="323">
      <c r="A323" s="2" t="inlineStr">
        <is>
          <t>Sub-task</t>
        </is>
      </c>
      <c r="B323" s="2" t="inlineStr">
        <is>
          <t>CIN-SUB-268</t>
        </is>
      </c>
      <c r="C323" s="2" t="inlineStr">
        <is>
          <t>CIN-T-045</t>
        </is>
      </c>
      <c r="D323" s="2" t="inlineStr">
        <is>
          <t>Kiểm tra Admin Flow</t>
        </is>
      </c>
      <c r="E323" s="2" t="inlineStr">
        <is>
          <t>Original Row ID: ORIG-268. Original task: Kiểm tra Admin Flow. Original description: Movie → Room → Seat → Showtime → Booking.</t>
        </is>
      </c>
      <c r="F323" s="2" t="inlineStr">
        <is>
          <t>24120255</t>
        </is>
      </c>
      <c r="G323" s="2" t="inlineStr">
        <is>
          <t>Tran Thien An</t>
        </is>
      </c>
      <c r="H323" s="2" t="inlineStr">
        <is>
          <t>Sprint 5</t>
        </is>
      </c>
      <c r="I323" s="3" t="n">
        <v>46354</v>
      </c>
      <c r="J323" s="3" t="n">
        <v>46368</v>
      </c>
      <c r="K323" s="2" t="inlineStr">
        <is>
          <t>High</t>
        </is>
      </c>
      <c r="L323" s="2" t="inlineStr">
        <is>
          <t>subtask,PH-04,orig-268</t>
        </is>
      </c>
      <c r="M323" s="2" t="inlineStr">
        <is>
          <t>ORIG-268</t>
        </is>
      </c>
      <c r="N323" s="2" t="inlineStr">
        <is>
          <t>CIN-T-027, CIN-T-035, CIN-T-028, CIN-T-039</t>
        </is>
      </c>
      <c r="O323" s="2" t="inlineStr">
        <is>
          <t>PH-04</t>
        </is>
      </c>
      <c r="P323" s="2" t="inlineStr">
        <is>
          <t>CIN-T-045</t>
        </is>
      </c>
    </row>
    <row r="324">
      <c r="A324" s="2" t="inlineStr">
        <is>
          <t>Sub-task</t>
        </is>
      </c>
      <c r="B324" s="2" t="inlineStr">
        <is>
          <t>CIN-SUB-269</t>
        </is>
      </c>
      <c r="C324" s="2" t="inlineStr">
        <is>
          <t>CIN-T-045</t>
        </is>
      </c>
      <c r="D324" s="2" t="inlineStr">
        <is>
          <t>Kiểm tra Database</t>
        </is>
      </c>
      <c r="E324" s="2" t="inlineStr">
        <is>
          <t>Original Row ID: ORIG-269. Original task: Kiểm tra Database. Original description: Entity / Migration / Production DB.</t>
        </is>
      </c>
      <c r="F324" s="2" t="inlineStr">
        <is>
          <t>24120244</t>
        </is>
      </c>
      <c r="G324" s="2" t="inlineStr">
        <is>
          <t>Phan Van Viet</t>
        </is>
      </c>
      <c r="H324" s="2" t="inlineStr">
        <is>
          <t>Sprint 5</t>
        </is>
      </c>
      <c r="I324" s="3" t="n">
        <v>46354</v>
      </c>
      <c r="J324" s="3" t="n">
        <v>46368</v>
      </c>
      <c r="K324" s="2" t="inlineStr">
        <is>
          <t>High</t>
        </is>
      </c>
      <c r="L324" s="2" t="inlineStr">
        <is>
          <t>subtask,PH-04,orig-269</t>
        </is>
      </c>
      <c r="M324" s="2" t="inlineStr">
        <is>
          <t>ORIG-269</t>
        </is>
      </c>
      <c r="N324" s="2" t="inlineStr">
        <is>
          <t>CIN-T-027, CIN-T-035, CIN-T-028, CIN-T-039</t>
        </is>
      </c>
      <c r="O324" s="2" t="inlineStr">
        <is>
          <t>PH-04</t>
        </is>
      </c>
      <c r="P324" s="2" t="inlineStr">
        <is>
          <t>CIN-T-045</t>
        </is>
      </c>
    </row>
    <row r="325">
      <c r="A325" s="2" t="inlineStr">
        <is>
          <t>Sub-task</t>
        </is>
      </c>
      <c r="B325" s="2" t="inlineStr">
        <is>
          <t>CIN-SUB-270</t>
        </is>
      </c>
      <c r="C325" s="2" t="inlineStr">
        <is>
          <t>CIN-T-045</t>
        </is>
      </c>
      <c r="D325" s="2" t="inlineStr">
        <is>
          <t>Kiểm tra Deployment</t>
        </is>
      </c>
      <c r="E325" s="2" t="inlineStr">
        <is>
          <t>Original Row ID: ORIG-270. Original task: Kiểm tra Deployment. Original description: Kiểm tra Web App trên production.</t>
        </is>
      </c>
      <c r="F325" s="2" t="inlineStr">
        <is>
          <t>24120271</t>
        </is>
      </c>
      <c r="G325" s="2" t="inlineStr">
        <is>
          <t>Nguyen Trung Chinh</t>
        </is>
      </c>
      <c r="H325" s="2" t="inlineStr">
        <is>
          <t>Sprint 5</t>
        </is>
      </c>
      <c r="I325" s="3" t="n">
        <v>46354</v>
      </c>
      <c r="J325" s="3" t="n">
        <v>46368</v>
      </c>
      <c r="K325" s="2" t="inlineStr">
        <is>
          <t>High</t>
        </is>
      </c>
      <c r="L325" s="2" t="inlineStr">
        <is>
          <t>subtask,PH-04,orig-270</t>
        </is>
      </c>
      <c r="M325" s="2" t="inlineStr">
        <is>
          <t>ORIG-270</t>
        </is>
      </c>
      <c r="N325" s="2" t="inlineStr">
        <is>
          <t>CIN-T-027, CIN-T-035, CIN-T-028, CIN-T-039</t>
        </is>
      </c>
      <c r="O325" s="2" t="inlineStr">
        <is>
          <t>PH-04</t>
        </is>
      </c>
      <c r="P325" s="2" t="inlineStr">
        <is>
          <t>CIN-T-045</t>
        </is>
      </c>
    </row>
    <row r="326">
      <c r="A326" s="2" t="inlineStr">
        <is>
          <t>Sub-task</t>
        </is>
      </c>
      <c r="B326" s="2" t="inlineStr">
        <is>
          <t>CIN-SUB-271</t>
        </is>
      </c>
      <c r="C326" s="2" t="inlineStr">
        <is>
          <t>CIN-T-045</t>
        </is>
      </c>
      <c r="D326" s="2" t="inlineStr">
        <is>
          <t>Final Bug Fix</t>
        </is>
      </c>
      <c r="E326" s="2" t="inlineStr">
        <is>
          <t>Original Row ID: ORIG-271. Original task: Final Bug Fix. Original description: Sửa lỗi trước khi release.</t>
        </is>
      </c>
      <c r="F326" s="2" t="inlineStr">
        <is>
          <t>24120098</t>
        </is>
      </c>
      <c r="G326" s="2" t="inlineStr">
        <is>
          <t>Nguyen Quoc Nam</t>
        </is>
      </c>
      <c r="H326" s="2" t="inlineStr">
        <is>
          <t>Sprint 5</t>
        </is>
      </c>
      <c r="I326" s="3" t="n">
        <v>46354</v>
      </c>
      <c r="J326" s="3" t="n">
        <v>46368</v>
      </c>
      <c r="K326" s="2" t="inlineStr">
        <is>
          <t>High</t>
        </is>
      </c>
      <c r="L326" s="2" t="inlineStr">
        <is>
          <t>subtask,PH-04,orig-271</t>
        </is>
      </c>
      <c r="M326" s="2" t="inlineStr">
        <is>
          <t>ORIG-271</t>
        </is>
      </c>
      <c r="N326" s="2" t="inlineStr">
        <is>
          <t>CIN-T-027, CIN-T-035, CIN-T-028, CIN-T-039</t>
        </is>
      </c>
      <c r="O326" s="2" t="inlineStr">
        <is>
          <t>PH-04</t>
        </is>
      </c>
      <c r="P326" s="2" t="inlineStr">
        <is>
          <t>CIN-T-045</t>
        </is>
      </c>
    </row>
    <row r="327">
      <c r="A327" s="2" t="inlineStr">
        <is>
          <t>Sub-task</t>
        </is>
      </c>
      <c r="B327" s="2" t="inlineStr">
        <is>
          <t>CIN-SUB-272</t>
        </is>
      </c>
      <c r="C327" s="2" t="inlineStr">
        <is>
          <t>CIN-T-046</t>
        </is>
      </c>
      <c r="D327" s="2" t="inlineStr">
        <is>
          <t>Chuẩn bị tài khoản Demo</t>
        </is>
      </c>
      <c r="E327" s="2" t="inlineStr">
        <is>
          <t>Original Row ID: ORIG-272. Original task: Chuẩn bị tài khoản Demo. Original description: Admin / Staff / Customer.</t>
        </is>
      </c>
      <c r="F327" s="2" t="inlineStr">
        <is>
          <t>24120235</t>
        </is>
      </c>
      <c r="G327" s="2" t="inlineStr">
        <is>
          <t>Huynh Thanh Tu</t>
        </is>
      </c>
      <c r="H327" s="2" t="inlineStr">
        <is>
          <t>Sprint 5</t>
        </is>
      </c>
      <c r="I327" s="3" t="n">
        <v>46354</v>
      </c>
      <c r="J327" s="3" t="n">
        <v>46368</v>
      </c>
      <c r="K327" s="2" t="inlineStr">
        <is>
          <t>High</t>
        </is>
      </c>
      <c r="L327" s="2" t="inlineStr">
        <is>
          <t>subtask,PH-04,orig-272</t>
        </is>
      </c>
      <c r="M327" s="2" t="inlineStr">
        <is>
          <t>ORIG-272</t>
        </is>
      </c>
      <c r="N327" s="2" t="inlineStr">
        <is>
          <t>CIN-T-045, CIN-T-030</t>
        </is>
      </c>
      <c r="O327" s="2" t="inlineStr">
        <is>
          <t>PH-04</t>
        </is>
      </c>
      <c r="P327" s="2" t="inlineStr">
        <is>
          <t>CIN-T-046</t>
        </is>
      </c>
    </row>
    <row r="328">
      <c r="A328" s="2" t="inlineStr">
        <is>
          <t>Sub-task</t>
        </is>
      </c>
      <c r="B328" s="2" t="inlineStr">
        <is>
          <t>CIN-SUB-273</t>
        </is>
      </c>
      <c r="C328" s="2" t="inlineStr">
        <is>
          <t>CIN-T-046</t>
        </is>
      </c>
      <c r="D328" s="2" t="inlineStr">
        <is>
          <t>Chuẩn bị dữ liệu Demo</t>
        </is>
      </c>
      <c r="E328" s="2" t="inlineStr">
        <is>
          <t>Original Row ID: ORIG-273. Original task: Chuẩn bị dữ liệu Demo. Original description: Phim, phòng, ghế, suất chiếu, booking.</t>
        </is>
      </c>
      <c r="F328" s="2" t="inlineStr">
        <is>
          <t>24120255</t>
        </is>
      </c>
      <c r="G328" s="2" t="inlineStr">
        <is>
          <t>Tran Thien An</t>
        </is>
      </c>
      <c r="H328" s="2" t="inlineStr">
        <is>
          <t>Sprint 5</t>
        </is>
      </c>
      <c r="I328" s="3" t="n">
        <v>46354</v>
      </c>
      <c r="J328" s="3" t="n">
        <v>46368</v>
      </c>
      <c r="K328" s="2" t="inlineStr">
        <is>
          <t>High</t>
        </is>
      </c>
      <c r="L328" s="2" t="inlineStr">
        <is>
          <t>subtask,PH-04,orig-273</t>
        </is>
      </c>
      <c r="M328" s="2" t="inlineStr">
        <is>
          <t>ORIG-273</t>
        </is>
      </c>
      <c r="N328" s="2" t="inlineStr">
        <is>
          <t>CIN-T-045, CIN-T-030</t>
        </is>
      </c>
      <c r="O328" s="2" t="inlineStr">
        <is>
          <t>PH-04</t>
        </is>
      </c>
      <c r="P328" s="2" t="inlineStr">
        <is>
          <t>CIN-T-046</t>
        </is>
      </c>
    </row>
    <row r="329">
      <c r="A329" s="2" t="inlineStr">
        <is>
          <t>Sub-task</t>
        </is>
      </c>
      <c r="B329" s="2" t="inlineStr">
        <is>
          <t>CIN-SUB-274</t>
        </is>
      </c>
      <c r="C329" s="2" t="inlineStr">
        <is>
          <t>CIN-T-046</t>
        </is>
      </c>
      <c r="D329" s="2" t="inlineStr">
        <is>
          <t>Chuẩn bị kịch bản Demo</t>
        </is>
      </c>
      <c r="E329" s="2" t="inlineStr">
        <is>
          <t>Original Row ID: ORIG-274. Original task: Chuẩn bị kịch bản Demo. Original description: Kịch bản quản trị + mua vé.</t>
        </is>
      </c>
      <c r="F329" s="2" t="inlineStr">
        <is>
          <t>24120098</t>
        </is>
      </c>
      <c r="G329" s="2" t="inlineStr">
        <is>
          <t>Nguyen Quoc Nam</t>
        </is>
      </c>
      <c r="H329" s="2" t="inlineStr">
        <is>
          <t>Sprint 5</t>
        </is>
      </c>
      <c r="I329" s="3" t="n">
        <v>46354</v>
      </c>
      <c r="J329" s="3" t="n">
        <v>46368</v>
      </c>
      <c r="K329" s="2" t="inlineStr">
        <is>
          <t>High</t>
        </is>
      </c>
      <c r="L329" s="2" t="inlineStr">
        <is>
          <t>subtask,PH-04,orig-274</t>
        </is>
      </c>
      <c r="M329" s="2" t="inlineStr">
        <is>
          <t>ORIG-274</t>
        </is>
      </c>
      <c r="N329" s="2" t="inlineStr">
        <is>
          <t>CIN-T-045, CIN-T-030</t>
        </is>
      </c>
      <c r="O329" s="2" t="inlineStr">
        <is>
          <t>PH-04</t>
        </is>
      </c>
      <c r="P329" s="2" t="inlineStr">
        <is>
          <t>CIN-T-046</t>
        </is>
      </c>
    </row>
    <row r="330">
      <c r="A330" s="2" t="inlineStr">
        <is>
          <t>Sub-task</t>
        </is>
      </c>
      <c r="B330" s="2" t="inlineStr">
        <is>
          <t>CIN-SUB-275</t>
        </is>
      </c>
      <c r="C330" s="2" t="inlineStr">
        <is>
          <t>CIN-T-046</t>
        </is>
      </c>
      <c r="D330" s="2" t="inlineStr">
        <is>
          <t>Demo Customer Flow</t>
        </is>
      </c>
      <c r="E330" s="2" t="inlineStr">
        <is>
          <t>Original Row ID: ORIG-275. Original task: Demo Customer Flow. Original description: Xem phim → chọn suất → chọn ghế → thanh toán → nhận vé.</t>
        </is>
      </c>
      <c r="F330" s="2" t="inlineStr">
        <is>
          <t>24120235</t>
        </is>
      </c>
      <c r="G330" s="2" t="inlineStr">
        <is>
          <t>Huynh Thanh Tu</t>
        </is>
      </c>
      <c r="H330" s="2" t="inlineStr">
        <is>
          <t>Sprint 5</t>
        </is>
      </c>
      <c r="I330" s="3" t="n">
        <v>46354</v>
      </c>
      <c r="J330" s="3" t="n">
        <v>46368</v>
      </c>
      <c r="K330" s="2" t="inlineStr">
        <is>
          <t>High</t>
        </is>
      </c>
      <c r="L330" s="2" t="inlineStr">
        <is>
          <t>subtask,PH-04,orig-275</t>
        </is>
      </c>
      <c r="M330" s="2" t="inlineStr">
        <is>
          <t>ORIG-275</t>
        </is>
      </c>
      <c r="N330" s="2" t="inlineStr">
        <is>
          <t>CIN-T-045, CIN-T-030</t>
        </is>
      </c>
      <c r="O330" s="2" t="inlineStr">
        <is>
          <t>PH-04</t>
        </is>
      </c>
      <c r="P330" s="2" t="inlineStr">
        <is>
          <t>CIN-T-046</t>
        </is>
      </c>
    </row>
    <row r="331">
      <c r="A331" s="2" t="inlineStr">
        <is>
          <t>Sub-task</t>
        </is>
      </c>
      <c r="B331" s="2" t="inlineStr">
        <is>
          <t>CIN-SUB-276</t>
        </is>
      </c>
      <c r="C331" s="2" t="inlineStr">
        <is>
          <t>CIN-T-046</t>
        </is>
      </c>
      <c r="D331" s="2" t="inlineStr">
        <is>
          <t>Demo Admin Flow</t>
        </is>
      </c>
      <c r="E331" s="2" t="inlineStr">
        <is>
          <t>Original Row ID: ORIG-276. Original task: Demo Admin Flow. Original description: Quản lý phim → phòng → ghế → suất chiếu.</t>
        </is>
      </c>
      <c r="F331" s="2" t="inlineStr">
        <is>
          <t>24120244</t>
        </is>
      </c>
      <c r="G331" s="2" t="inlineStr">
        <is>
          <t>Phan Van Viet</t>
        </is>
      </c>
      <c r="H331" s="2" t="inlineStr">
        <is>
          <t>Sprint 5</t>
        </is>
      </c>
      <c r="I331" s="3" t="n">
        <v>46354</v>
      </c>
      <c r="J331" s="3" t="n">
        <v>46368</v>
      </c>
      <c r="K331" s="2" t="inlineStr">
        <is>
          <t>High</t>
        </is>
      </c>
      <c r="L331" s="2" t="inlineStr">
        <is>
          <t>subtask,PH-04,orig-276</t>
        </is>
      </c>
      <c r="M331" s="2" t="inlineStr">
        <is>
          <t>ORIG-276</t>
        </is>
      </c>
      <c r="N331" s="2" t="inlineStr">
        <is>
          <t>CIN-T-045, CIN-T-030</t>
        </is>
      </c>
      <c r="O331" s="2" t="inlineStr">
        <is>
          <t>PH-04</t>
        </is>
      </c>
      <c r="P331" s="2" t="inlineStr">
        <is>
          <t>CIN-T-046</t>
        </is>
      </c>
    </row>
    <row r="332">
      <c r="A332" s="2" t="inlineStr">
        <is>
          <t>Sub-task</t>
        </is>
      </c>
      <c r="B332" s="2" t="inlineStr">
        <is>
          <t>CIN-SUB-277</t>
        </is>
      </c>
      <c r="C332" s="2" t="inlineStr">
        <is>
          <t>CIN-T-046</t>
        </is>
      </c>
      <c r="D332" s="2" t="inlineStr">
        <is>
          <t>Demo Statistics</t>
        </is>
      </c>
      <c r="E332" s="2" t="inlineStr">
        <is>
          <t>Original Row ID: ORIG-277. Original task: Demo Statistics. Original description: Dashboard và báo cáo.</t>
        </is>
      </c>
      <c r="F332" s="2" t="inlineStr">
        <is>
          <t>24120271</t>
        </is>
      </c>
      <c r="G332" s="2" t="inlineStr">
        <is>
          <t>Nguyen Trung Chinh</t>
        </is>
      </c>
      <c r="H332" s="2" t="inlineStr">
        <is>
          <t>Sprint 5</t>
        </is>
      </c>
      <c r="I332" s="3" t="n">
        <v>46354</v>
      </c>
      <c r="J332" s="3" t="n">
        <v>46368</v>
      </c>
      <c r="K332" s="2" t="inlineStr">
        <is>
          <t>High</t>
        </is>
      </c>
      <c r="L332" s="2" t="inlineStr">
        <is>
          <t>subtask,PH-04,orig-277</t>
        </is>
      </c>
      <c r="M332" s="2" t="inlineStr">
        <is>
          <t>ORIG-277</t>
        </is>
      </c>
      <c r="N332" s="2" t="inlineStr">
        <is>
          <t>CIN-T-045, CIN-T-030</t>
        </is>
      </c>
      <c r="O332" s="2" t="inlineStr">
        <is>
          <t>PH-04</t>
        </is>
      </c>
      <c r="P332" s="2" t="inlineStr">
        <is>
          <t>CIN-T-046</t>
        </is>
      </c>
    </row>
    <row r="333">
      <c r="A333" s="2" t="inlineStr">
        <is>
          <t>Sub-task</t>
        </is>
      </c>
      <c r="B333" s="2" t="inlineStr">
        <is>
          <t>CIN-SUB-278</t>
        </is>
      </c>
      <c r="C333" s="2" t="inlineStr">
        <is>
          <t>CIN-T-046</t>
        </is>
      </c>
      <c r="D333" s="2" t="inlineStr">
        <is>
          <t>Demo Deployment</t>
        </is>
      </c>
      <c r="E333" s="2" t="inlineStr">
        <is>
          <t>Original Row ID: ORIG-278. Original task: Demo Deployment. Original description: Trình diễn Web App trên môi trường production.</t>
        </is>
      </c>
      <c r="F333" s="2" t="inlineStr">
        <is>
          <t>24120255</t>
        </is>
      </c>
      <c r="G333" s="2" t="inlineStr">
        <is>
          <t>Tran Thien An</t>
        </is>
      </c>
      <c r="H333" s="2" t="inlineStr">
        <is>
          <t>Sprint 5</t>
        </is>
      </c>
      <c r="I333" s="3" t="n">
        <v>46354</v>
      </c>
      <c r="J333" s="3" t="n">
        <v>46368</v>
      </c>
      <c r="K333" s="2" t="inlineStr">
        <is>
          <t>High</t>
        </is>
      </c>
      <c r="L333" s="2" t="inlineStr">
        <is>
          <t>subtask,PH-04,orig-278</t>
        </is>
      </c>
      <c r="M333" s="2" t="inlineStr">
        <is>
          <t>ORIG-278</t>
        </is>
      </c>
      <c r="N333" s="2" t="inlineStr">
        <is>
          <t>CIN-T-045, CIN-T-030</t>
        </is>
      </c>
      <c r="O333" s="2" t="inlineStr">
        <is>
          <t>PH-04</t>
        </is>
      </c>
      <c r="P333" s="2" t="inlineStr">
        <is>
          <t>CIN-T-046</t>
        </is>
      </c>
    </row>
    <row r="334">
      <c r="A334" s="2" t="inlineStr">
        <is>
          <t>Sub-task</t>
        </is>
      </c>
      <c r="B334" s="2" t="inlineStr">
        <is>
          <t>CIN-SUB-279</t>
        </is>
      </c>
      <c r="C334" s="2" t="inlineStr">
        <is>
          <t>CIN-T-047</t>
        </is>
      </c>
      <c r="D334" s="2" t="inlineStr">
        <is>
          <t>Tổng quan hệ thống</t>
        </is>
      </c>
      <c r="E334" s="2" t="inlineStr">
        <is>
          <t>Original Row ID: ORIG-279. Original task: Tổng quan hệ thống. Original description: Mục tiêu và phạm vi.</t>
        </is>
      </c>
      <c r="F334" s="2" t="inlineStr">
        <is>
          <t>24120098</t>
        </is>
      </c>
      <c r="G334" s="2" t="inlineStr">
        <is>
          <t>Nguyen Quoc Nam</t>
        </is>
      </c>
      <c r="H334" s="2" t="inlineStr">
        <is>
          <t>Sprint 1</t>
        </is>
      </c>
      <c r="I334" s="3" t="n">
        <v>46298</v>
      </c>
      <c r="J334" s="3" t="n">
        <v>46311</v>
      </c>
      <c r="K334" s="2" t="inlineStr">
        <is>
          <t>High</t>
        </is>
      </c>
      <c r="L334" s="2" t="inlineStr">
        <is>
          <t>subtask,PH-01,orig-279</t>
        </is>
      </c>
      <c r="M334" s="2" t="inlineStr">
        <is>
          <t>ORIG-279</t>
        </is>
      </c>
      <c r="N334" s="2" t="inlineStr">
        <is>
          <t>CIN-T-003</t>
        </is>
      </c>
      <c r="O334" s="2" t="inlineStr">
        <is>
          <t>PH-01</t>
        </is>
      </c>
      <c r="P334" s="2" t="inlineStr">
        <is>
          <t>CIN-T-047</t>
        </is>
      </c>
    </row>
    <row r="335">
      <c r="A335" s="2" t="inlineStr">
        <is>
          <t>Sub-task</t>
        </is>
      </c>
      <c r="B335" s="2" t="inlineStr">
        <is>
          <t>CIN-SUB-280</t>
        </is>
      </c>
      <c r="C335" s="2" t="inlineStr">
        <is>
          <t>CIN-T-047</t>
        </is>
      </c>
      <c r="D335" s="2" t="inlineStr">
        <is>
          <t>Phân tích nghiệp vụ</t>
        </is>
      </c>
      <c r="E335" s="2" t="inlineStr">
        <is>
          <t>Original Row ID: ORIG-280. Original task: Phân tích nghiệp vụ. Original description: Requirements + Use Case.</t>
        </is>
      </c>
      <c r="F335" s="2" t="inlineStr">
        <is>
          <t>24120235</t>
        </is>
      </c>
      <c r="G335" s="2" t="inlineStr">
        <is>
          <t>Huynh Thanh Tu</t>
        </is>
      </c>
      <c r="H335" s="2" t="inlineStr">
        <is>
          <t>Sprint 1</t>
        </is>
      </c>
      <c r="I335" s="3" t="n">
        <v>46298</v>
      </c>
      <c r="J335" s="3" t="n">
        <v>46311</v>
      </c>
      <c r="K335" s="2" t="inlineStr">
        <is>
          <t>High</t>
        </is>
      </c>
      <c r="L335" s="2" t="inlineStr">
        <is>
          <t>subtask,PH-01,orig-280</t>
        </is>
      </c>
      <c r="M335" s="2" t="inlineStr">
        <is>
          <t>ORIG-280</t>
        </is>
      </c>
      <c r="N335" s="2" t="inlineStr">
        <is>
          <t>CIN-T-003</t>
        </is>
      </c>
      <c r="O335" s="2" t="inlineStr">
        <is>
          <t>PH-01</t>
        </is>
      </c>
      <c r="P335" s="2" t="inlineStr">
        <is>
          <t>CIN-T-047</t>
        </is>
      </c>
    </row>
    <row r="336">
      <c r="A336" s="2" t="inlineStr">
        <is>
          <t>Sub-task</t>
        </is>
      </c>
      <c r="B336" s="2" t="inlineStr">
        <is>
          <t>CIN-SUB-281</t>
        </is>
      </c>
      <c r="C336" s="2" t="inlineStr">
        <is>
          <t>CIN-T-048</t>
        </is>
      </c>
      <c r="D336" s="2" t="inlineStr">
        <is>
          <t>Thiết kế hệ thống</t>
        </is>
      </c>
      <c r="E336" s="2" t="inlineStr">
        <is>
          <t>Original Row ID: ORIG-281. Original task: Thiết kế hệ thống. Original description: Architecture.</t>
        </is>
      </c>
      <c r="F336" s="2" t="inlineStr">
        <is>
          <t>24120235</t>
        </is>
      </c>
      <c r="G336" s="2" t="inlineStr">
        <is>
          <t>Huynh Thanh Tu</t>
        </is>
      </c>
      <c r="H336" s="2" t="inlineStr">
        <is>
          <t>Sprint 2</t>
        </is>
      </c>
      <c r="I336" s="3" t="n">
        <v>46312</v>
      </c>
      <c r="J336" s="3" t="n">
        <v>46325</v>
      </c>
      <c r="K336" s="2" t="inlineStr">
        <is>
          <t>Medium</t>
        </is>
      </c>
      <c r="L336" s="2" t="inlineStr">
        <is>
          <t>subtask,PH-02,orig-281</t>
        </is>
      </c>
      <c r="M336" s="2" t="inlineStr">
        <is>
          <t>ORIG-281</t>
        </is>
      </c>
      <c r="N336" s="2" t="inlineStr">
        <is>
          <t>CIN-T-007, CIN-T-003</t>
        </is>
      </c>
      <c r="O336" s="2" t="inlineStr">
        <is>
          <t>PH-02</t>
        </is>
      </c>
      <c r="P336" s="2" t="inlineStr">
        <is>
          <t>CIN-T-048</t>
        </is>
      </c>
    </row>
    <row r="337">
      <c r="A337" s="2" t="inlineStr">
        <is>
          <t>Sub-task</t>
        </is>
      </c>
      <c r="B337" s="2" t="inlineStr">
        <is>
          <t>CIN-SUB-282</t>
        </is>
      </c>
      <c r="C337" s="2" t="inlineStr">
        <is>
          <t>CIN-T-048</t>
        </is>
      </c>
      <c r="D337" s="2" t="inlineStr">
        <is>
          <t>Thiết kế Database</t>
        </is>
      </c>
      <c r="E337" s="2" t="inlineStr">
        <is>
          <t>Original Row ID: ORIG-282. Original task: Thiết kế Database. Original description: ERD + mô tả bảng.</t>
        </is>
      </c>
      <c r="F337" s="2" t="inlineStr">
        <is>
          <t>24120244</t>
        </is>
      </c>
      <c r="G337" s="2" t="inlineStr">
        <is>
          <t>Phan Van Viet</t>
        </is>
      </c>
      <c r="H337" s="2" t="inlineStr">
        <is>
          <t>Sprint 2</t>
        </is>
      </c>
      <c r="I337" s="3" t="n">
        <v>46312</v>
      </c>
      <c r="J337" s="3" t="n">
        <v>46325</v>
      </c>
      <c r="K337" s="2" t="inlineStr">
        <is>
          <t>Medium</t>
        </is>
      </c>
      <c r="L337" s="2" t="inlineStr">
        <is>
          <t>subtask,PH-02,orig-282</t>
        </is>
      </c>
      <c r="M337" s="2" t="inlineStr">
        <is>
          <t>ORIG-282</t>
        </is>
      </c>
      <c r="N337" s="2" t="inlineStr">
        <is>
          <t>CIN-T-007, CIN-T-003</t>
        </is>
      </c>
      <c r="O337" s="2" t="inlineStr">
        <is>
          <t>PH-02</t>
        </is>
      </c>
      <c r="P337" s="2" t="inlineStr">
        <is>
          <t>CIN-T-048</t>
        </is>
      </c>
    </row>
    <row r="338">
      <c r="A338" s="2" t="inlineStr">
        <is>
          <t>Sub-task</t>
        </is>
      </c>
      <c r="B338" s="2" t="inlineStr">
        <is>
          <t>CIN-SUB-283</t>
        </is>
      </c>
      <c r="C338" s="2" t="inlineStr">
        <is>
          <t>CIN-T-049</t>
        </is>
      </c>
      <c r="D338" s="2" t="inlineStr">
        <is>
          <t>Backend</t>
        </is>
      </c>
      <c r="E338" s="2" t="inlineStr">
        <is>
          <t>Original Row ID: ORIG-283. Original task: Backend. Original description: API + Business Logic.</t>
        </is>
      </c>
      <c r="F338" s="2" t="inlineStr">
        <is>
          <t>24120098</t>
        </is>
      </c>
      <c r="G338" s="2" t="inlineStr">
        <is>
          <t>Nguyen Quoc Nam</t>
        </is>
      </c>
      <c r="H338" s="2" t="inlineStr">
        <is>
          <t>Sprint 5</t>
        </is>
      </c>
      <c r="I338" s="3" t="n">
        <v>46354</v>
      </c>
      <c r="J338" s="3" t="n">
        <v>46368</v>
      </c>
      <c r="K338" s="2" t="inlineStr">
        <is>
          <t>Medium</t>
        </is>
      </c>
      <c r="L338" s="2" t="inlineStr">
        <is>
          <t>subtask,PH-04,orig-283</t>
        </is>
      </c>
      <c r="M338" s="2" t="inlineStr">
        <is>
          <t>ORIG-283</t>
        </is>
      </c>
      <c r="N338" s="2" t="inlineStr">
        <is>
          <t>CIN-T-045, CIN-T-036, CIN-T-044</t>
        </is>
      </c>
      <c r="O338" s="2" t="inlineStr">
        <is>
          <t>PH-04</t>
        </is>
      </c>
      <c r="P338" s="2" t="inlineStr">
        <is>
          <t>CIN-T-049</t>
        </is>
      </c>
    </row>
    <row r="339">
      <c r="A339" s="2" t="inlineStr">
        <is>
          <t>Sub-task</t>
        </is>
      </c>
      <c r="B339" s="2" t="inlineStr">
        <is>
          <t>CIN-SUB-284</t>
        </is>
      </c>
      <c r="C339" s="2" t="inlineStr">
        <is>
          <t>CIN-T-049</t>
        </is>
      </c>
      <c r="D339" s="2" t="inlineStr">
        <is>
          <t>Frontend</t>
        </is>
      </c>
      <c r="E339" s="2" t="inlineStr">
        <is>
          <t>Original Row ID: ORIG-284. Original task: Frontend. Original description: Giao diện và chức năng.</t>
        </is>
      </c>
      <c r="F339" s="2" t="inlineStr">
        <is>
          <t>24120271</t>
        </is>
      </c>
      <c r="G339" s="2" t="inlineStr">
        <is>
          <t>Nguyen Trung Chinh</t>
        </is>
      </c>
      <c r="H339" s="2" t="inlineStr">
        <is>
          <t>Sprint 5</t>
        </is>
      </c>
      <c r="I339" s="3" t="n">
        <v>46354</v>
      </c>
      <c r="J339" s="3" t="n">
        <v>46368</v>
      </c>
      <c r="K339" s="2" t="inlineStr">
        <is>
          <t>Medium</t>
        </is>
      </c>
      <c r="L339" s="2" t="inlineStr">
        <is>
          <t>subtask,PH-04,orig-284</t>
        </is>
      </c>
      <c r="M339" s="2" t="inlineStr">
        <is>
          <t>ORIG-284</t>
        </is>
      </c>
      <c r="N339" s="2" t="inlineStr">
        <is>
          <t>CIN-T-045, CIN-T-036, CIN-T-044</t>
        </is>
      </c>
      <c r="O339" s="2" t="inlineStr">
        <is>
          <t>PH-04</t>
        </is>
      </c>
      <c r="P339" s="2" t="inlineStr">
        <is>
          <t>CIN-T-049</t>
        </is>
      </c>
    </row>
    <row r="340">
      <c r="A340" s="2" t="inlineStr">
        <is>
          <t>Sub-task</t>
        </is>
      </c>
      <c r="B340" s="2" t="inlineStr">
        <is>
          <t>CIN-SUB-285</t>
        </is>
      </c>
      <c r="C340" s="2" t="inlineStr">
        <is>
          <t>CIN-T-049</t>
        </is>
      </c>
      <c r="D340" s="2" t="inlineStr">
        <is>
          <t>Authentication / Security</t>
        </is>
      </c>
      <c r="E340" s="2" t="inlineStr">
        <is>
          <t>Original Row ID: ORIG-285. Original task: Authentication / Security. Original description: Cơ chế bảo mật.</t>
        </is>
      </c>
      <c r="F340" s="2" t="inlineStr">
        <is>
          <t>24120244</t>
        </is>
      </c>
      <c r="G340" s="2" t="inlineStr">
        <is>
          <t>Phan Van Viet</t>
        </is>
      </c>
      <c r="H340" s="2" t="inlineStr">
        <is>
          <t>Sprint 5</t>
        </is>
      </c>
      <c r="I340" s="3" t="n">
        <v>46354</v>
      </c>
      <c r="J340" s="3" t="n">
        <v>46368</v>
      </c>
      <c r="K340" s="2" t="inlineStr">
        <is>
          <t>Medium</t>
        </is>
      </c>
      <c r="L340" s="2" t="inlineStr">
        <is>
          <t>subtask,PH-04,orig-285</t>
        </is>
      </c>
      <c r="M340" s="2" t="inlineStr">
        <is>
          <t>ORIG-285</t>
        </is>
      </c>
      <c r="N340" s="2" t="inlineStr">
        <is>
          <t>CIN-T-045, CIN-T-036, CIN-T-044</t>
        </is>
      </c>
      <c r="O340" s="2" t="inlineStr">
        <is>
          <t>PH-04</t>
        </is>
      </c>
      <c r="P340" s="2" t="inlineStr">
        <is>
          <t>CIN-T-049</t>
        </is>
      </c>
    </row>
    <row r="341">
      <c r="A341" s="2" t="inlineStr">
        <is>
          <t>Sub-task</t>
        </is>
      </c>
      <c r="B341" s="2" t="inlineStr">
        <is>
          <t>CIN-SUB-286</t>
        </is>
      </c>
      <c r="C341" s="2" t="inlineStr">
        <is>
          <t>CIN-T-049</t>
        </is>
      </c>
      <c r="D341" s="2" t="inlineStr">
        <is>
          <t>Testing</t>
        </is>
      </c>
      <c r="E341" s="2" t="inlineStr">
        <is>
          <t>Original Row ID: ORIG-286. Original task: Testing. Original description: Test case + kết quả.</t>
        </is>
      </c>
      <c r="F341" s="2" t="inlineStr">
        <is>
          <t>24120235</t>
        </is>
      </c>
      <c r="G341" s="2" t="inlineStr">
        <is>
          <t>Huynh Thanh Tu</t>
        </is>
      </c>
      <c r="H341" s="2" t="inlineStr">
        <is>
          <t>Sprint 5</t>
        </is>
      </c>
      <c r="I341" s="3" t="n">
        <v>46354</v>
      </c>
      <c r="J341" s="3" t="n">
        <v>46368</v>
      </c>
      <c r="K341" s="2" t="inlineStr">
        <is>
          <t>Medium</t>
        </is>
      </c>
      <c r="L341" s="2" t="inlineStr">
        <is>
          <t>subtask,PH-04,orig-286</t>
        </is>
      </c>
      <c r="M341" s="2" t="inlineStr">
        <is>
          <t>ORIG-286</t>
        </is>
      </c>
      <c r="N341" s="2" t="inlineStr">
        <is>
          <t>CIN-T-045, CIN-T-036, CIN-T-044</t>
        </is>
      </c>
      <c r="O341" s="2" t="inlineStr">
        <is>
          <t>PH-04</t>
        </is>
      </c>
      <c r="P341" s="2" t="inlineStr">
        <is>
          <t>CIN-T-049</t>
        </is>
      </c>
    </row>
    <row r="342">
      <c r="A342" s="2" t="inlineStr">
        <is>
          <t>Sub-task</t>
        </is>
      </c>
      <c r="B342" s="2" t="inlineStr">
        <is>
          <t>CIN-SUB-287</t>
        </is>
      </c>
      <c r="C342" s="2" t="inlineStr">
        <is>
          <t>CIN-T-049</t>
        </is>
      </c>
      <c r="D342" s="2" t="inlineStr">
        <is>
          <t>Deployment</t>
        </is>
      </c>
      <c r="E342" s="2" t="inlineStr">
        <is>
          <t>Original Row ID: ORIG-287. Original task: Deployment. Original description: Môi trường và quy trình deploy.</t>
        </is>
      </c>
      <c r="F342" s="2" t="inlineStr">
        <is>
          <t>24120271</t>
        </is>
      </c>
      <c r="G342" s="2" t="inlineStr">
        <is>
          <t>Nguyen Trung Chinh</t>
        </is>
      </c>
      <c r="H342" s="2" t="inlineStr">
        <is>
          <t>Sprint 5</t>
        </is>
      </c>
      <c r="I342" s="3" t="n">
        <v>46354</v>
      </c>
      <c r="J342" s="3" t="n">
        <v>46368</v>
      </c>
      <c r="K342" s="2" t="inlineStr">
        <is>
          <t>Medium</t>
        </is>
      </c>
      <c r="L342" s="2" t="inlineStr">
        <is>
          <t>subtask,PH-04,orig-287</t>
        </is>
      </c>
      <c r="M342" s="2" t="inlineStr">
        <is>
          <t>ORIG-287</t>
        </is>
      </c>
      <c r="N342" s="2" t="inlineStr">
        <is>
          <t>CIN-T-045, CIN-T-036, CIN-T-044</t>
        </is>
      </c>
      <c r="O342" s="2" t="inlineStr">
        <is>
          <t>PH-04</t>
        </is>
      </c>
      <c r="P342" s="2" t="inlineStr">
        <is>
          <t>CIN-T-049</t>
        </is>
      </c>
    </row>
    <row r="343">
      <c r="A343" s="2" t="inlineStr">
        <is>
          <t>Sub-task</t>
        </is>
      </c>
      <c r="B343" s="2" t="inlineStr">
        <is>
          <t>CIN-SUB-288</t>
        </is>
      </c>
      <c r="C343" s="2" t="inlineStr">
        <is>
          <t>CIN-T-049</t>
        </is>
      </c>
      <c r="D343" s="2" t="inlineStr">
        <is>
          <t>AI Integration</t>
        </is>
      </c>
      <c r="E343" s="2" t="inlineStr">
        <is>
          <t>Original Row ID: ORIG-288. Original task: AI Integration. Original description: Mô tả chức năng AI nếu có.</t>
        </is>
      </c>
      <c r="F343" s="2" t="inlineStr">
        <is>
          <t>24120255</t>
        </is>
      </c>
      <c r="G343" s="2" t="inlineStr">
        <is>
          <t>Tran Thien An</t>
        </is>
      </c>
      <c r="H343" s="2" t="inlineStr">
        <is>
          <t>Sprint 5</t>
        </is>
      </c>
      <c r="I343" s="3" t="n">
        <v>46354</v>
      </c>
      <c r="J343" s="3" t="n">
        <v>46368</v>
      </c>
      <c r="K343" s="2" t="inlineStr">
        <is>
          <t>Medium</t>
        </is>
      </c>
      <c r="L343" s="2" t="inlineStr">
        <is>
          <t>subtask,PH-04,orig-288</t>
        </is>
      </c>
      <c r="M343" s="2" t="inlineStr">
        <is>
          <t>ORIG-288</t>
        </is>
      </c>
      <c r="N343" s="2" t="inlineStr">
        <is>
          <t>CIN-T-045, CIN-T-036, CIN-T-044</t>
        </is>
      </c>
      <c r="O343" s="2" t="inlineStr">
        <is>
          <t>PH-04</t>
        </is>
      </c>
      <c r="P343" s="2" t="inlineStr">
        <is>
          <t>CIN-T-049</t>
        </is>
      </c>
    </row>
    <row r="344">
      <c r="A344" s="2" t="inlineStr">
        <is>
          <t>Sub-task</t>
        </is>
      </c>
      <c r="B344" s="2" t="inlineStr">
        <is>
          <t>CIN-SUB-289</t>
        </is>
      </c>
      <c r="C344" s="2" t="inlineStr">
        <is>
          <t>CIN-T-050</t>
        </is>
      </c>
      <c r="D344" s="2" t="inlineStr">
        <is>
          <t>Đánh giá hệ thống</t>
        </is>
      </c>
      <c r="E344" s="2" t="inlineStr">
        <is>
          <t>Original Row ID: ORIG-289. Original task: Đánh giá hệ thống. Original description: Ưu điểm, hạn chế, hướng phát triển.</t>
        </is>
      </c>
      <c r="F344" s="2" t="inlineStr">
        <is>
          <t>24120098</t>
        </is>
      </c>
      <c r="G344" s="2" t="inlineStr">
        <is>
          <t>Nguyen Quoc Nam</t>
        </is>
      </c>
      <c r="H344" s="2" t="inlineStr">
        <is>
          <t>Sprint 5</t>
        </is>
      </c>
      <c r="I344" s="3" t="n">
        <v>46354</v>
      </c>
      <c r="J344" s="3" t="n">
        <v>46368</v>
      </c>
      <c r="K344" s="2" t="inlineStr">
        <is>
          <t>High</t>
        </is>
      </c>
      <c r="L344" s="2" t="inlineStr">
        <is>
          <t>subtask,PH-04,orig-289</t>
        </is>
      </c>
      <c r="M344" s="2" t="inlineStr">
        <is>
          <t>ORIG-289</t>
        </is>
      </c>
      <c r="N344" s="2" t="inlineStr">
        <is>
          <t>CIN-T-049, CIN-T-046</t>
        </is>
      </c>
      <c r="O344" s="2" t="inlineStr">
        <is>
          <t>PH-04</t>
        </is>
      </c>
      <c r="P344" s="2" t="inlineStr">
        <is>
          <t>CIN-T-050</t>
        </is>
      </c>
    </row>
    <row r="345">
      <c r="A345" s="2" t="inlineStr">
        <is>
          <t>Sub-task</t>
        </is>
      </c>
      <c r="B345" s="2" t="inlineStr">
        <is>
          <t>CIN-SUB-290</t>
        </is>
      </c>
      <c r="C345" s="2" t="inlineStr">
        <is>
          <t>CIN-T-050</t>
        </is>
      </c>
      <c r="D345" s="2" t="inlineStr">
        <is>
          <t>Hình ảnh minh họa</t>
        </is>
      </c>
      <c r="E345" s="2" t="inlineStr">
        <is>
          <t>Original Row ID: ORIG-290. Original task: Hình ảnh minh họa. Original description: Screenshot giao diện, API, Database, Deployment.</t>
        </is>
      </c>
      <c r="F345" s="2" t="inlineStr">
        <is>
          <t>24120244</t>
        </is>
      </c>
      <c r="G345" s="2" t="inlineStr">
        <is>
          <t>Phan Van Viet</t>
        </is>
      </c>
      <c r="H345" s="2" t="inlineStr">
        <is>
          <t>Sprint 5</t>
        </is>
      </c>
      <c r="I345" s="3" t="n">
        <v>46354</v>
      </c>
      <c r="J345" s="3" t="n">
        <v>46368</v>
      </c>
      <c r="K345" s="2" t="inlineStr">
        <is>
          <t>High</t>
        </is>
      </c>
      <c r="L345" s="2" t="inlineStr">
        <is>
          <t>subtask,PH-04,orig-290</t>
        </is>
      </c>
      <c r="M345" s="2" t="inlineStr">
        <is>
          <t>ORIG-290</t>
        </is>
      </c>
      <c r="N345" s="2" t="inlineStr">
        <is>
          <t>CIN-T-049, CIN-T-046</t>
        </is>
      </c>
      <c r="O345" s="2" t="inlineStr">
        <is>
          <t>PH-04</t>
        </is>
      </c>
      <c r="P345" s="2" t="inlineStr">
        <is>
          <t>CIN-T-050</t>
        </is>
      </c>
    </row>
    <row r="346">
      <c r="A346" s="2" t="inlineStr">
        <is>
          <t>Sub-task</t>
        </is>
      </c>
      <c r="B346" s="2" t="inlineStr">
        <is>
          <t>CIN-SUB-291</t>
        </is>
      </c>
      <c r="C346" s="2" t="inlineStr">
        <is>
          <t>CIN-T-050</t>
        </is>
      </c>
      <c r="D346" s="2" t="inlineStr">
        <is>
          <t>Chuẩn bị Slide</t>
        </is>
      </c>
      <c r="E346" s="2" t="inlineStr">
        <is>
          <t>Original Row ID: ORIG-291. Original task: Chuẩn bị Slide. Original description: Slide thuyết trình.</t>
        </is>
      </c>
      <c r="F346" s="2" t="inlineStr">
        <is>
          <t>24120235</t>
        </is>
      </c>
      <c r="G346" s="2" t="inlineStr">
        <is>
          <t>Huynh Thanh Tu</t>
        </is>
      </c>
      <c r="H346" s="2" t="inlineStr">
        <is>
          <t>Sprint 5</t>
        </is>
      </c>
      <c r="I346" s="3" t="n">
        <v>46354</v>
      </c>
      <c r="J346" s="3" t="n">
        <v>46368</v>
      </c>
      <c r="K346" s="2" t="inlineStr">
        <is>
          <t>High</t>
        </is>
      </c>
      <c r="L346" s="2" t="inlineStr">
        <is>
          <t>subtask,PH-04,orig-291</t>
        </is>
      </c>
      <c r="M346" s="2" t="inlineStr">
        <is>
          <t>ORIG-291</t>
        </is>
      </c>
      <c r="N346" s="2" t="inlineStr">
        <is>
          <t>CIN-T-049, CIN-T-046</t>
        </is>
      </c>
      <c r="O346" s="2" t="inlineStr">
        <is>
          <t>PH-04</t>
        </is>
      </c>
      <c r="P346" s="2" t="inlineStr">
        <is>
          <t>CIN-T-050</t>
        </is>
      </c>
    </row>
    <row r="347">
      <c r="A347" s="2" t="inlineStr">
        <is>
          <t>Sub-task</t>
        </is>
      </c>
      <c r="B347" s="2" t="inlineStr">
        <is>
          <t>CIN-SUB-292</t>
        </is>
      </c>
      <c r="C347" s="2" t="inlineStr">
        <is>
          <t>CIN-T-050</t>
        </is>
      </c>
      <c r="D347" s="2" t="inlineStr">
        <is>
          <t>Chuẩn bị phân công thuyết trình</t>
        </is>
      </c>
      <c r="E347" s="2" t="inlineStr">
        <is>
          <t>Original Row ID: ORIG-292. Original task: Chuẩn bị phân công thuyết trình. Original description: Thành viên và nội dung trình bày.</t>
        </is>
      </c>
      <c r="F347" s="2" t="inlineStr">
        <is>
          <t>24120235</t>
        </is>
      </c>
      <c r="G347" s="2" t="inlineStr">
        <is>
          <t>Huynh Thanh Tu</t>
        </is>
      </c>
      <c r="H347" s="2" t="inlineStr">
        <is>
          <t>Sprint 5</t>
        </is>
      </c>
      <c r="I347" s="3" t="n">
        <v>46354</v>
      </c>
      <c r="J347" s="3" t="n">
        <v>46368</v>
      </c>
      <c r="K347" s="2" t="inlineStr">
        <is>
          <t>High</t>
        </is>
      </c>
      <c r="L347" s="2" t="inlineStr">
        <is>
          <t>subtask,PH-04,orig-292</t>
        </is>
      </c>
      <c r="M347" s="2" t="inlineStr">
        <is>
          <t>ORIG-292</t>
        </is>
      </c>
      <c r="N347" s="2" t="inlineStr">
        <is>
          <t>CIN-T-049, CIN-T-046</t>
        </is>
      </c>
      <c r="O347" s="2" t="inlineStr">
        <is>
          <t>PH-04</t>
        </is>
      </c>
      <c r="P347" s="2" t="inlineStr">
        <is>
          <t>CIN-T-050</t>
        </is>
      </c>
    </row>
  </sheetData>
  <autoFilter ref="A1:P34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2026-10-16T16:52:50Z</dcterms:created>
  <dcterms:modified xsi:type="dcterms:W3CDTF">2026-10-16T16:52:53Z</dcterms:modified>
</cp:coreProperties>
</file>